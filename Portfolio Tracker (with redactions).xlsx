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richPivotRecords1.xml" ContentType="application/vnd.openxmlformats-officedocument.spreadsheetml.richPivot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fileSharing readOnlyRecommended="1"/>
  <workbookPr codeName="ThisWorkbook" hidePivotFieldList="1"/>
  <mc:AlternateContent xmlns:mc="http://schemas.openxmlformats.org/markup-compatibility/2006">
    <mc:Choice Requires="x15">
      <x15ac:absPath xmlns:x15ac="http://schemas.microsoft.com/office/spreadsheetml/2010/11/ac" url="https://gaustincc-my.sharepoint.com/personal/michael_daniel3_g_austincc_edu/Documents/"/>
    </mc:Choice>
  </mc:AlternateContent>
  <xr:revisionPtr revIDLastSave="0" documentId="8_{BE754F14-6A77-4948-8885-DB12184AA0A5}" xr6:coauthVersionLast="47" xr6:coauthVersionMax="47" xr10:uidLastSave="{00000000-0000-0000-0000-000000000000}"/>
  <bookViews>
    <workbookView xWindow="-120" yWindow="-120" windowWidth="29040" windowHeight="15840" firstSheet="1" activeTab="1" xr2:uid="{0E0773B3-5FD6-644F-95D5-D6D33BF60195}"/>
  </bookViews>
  <sheets>
    <sheet name="Function Tracker" sheetId="2" r:id="rId1"/>
    <sheet name="Portfolio" sheetId="1" r:id="rId2"/>
    <sheet name="Total Portfolio By Stock" sheetId="7" r:id="rId3"/>
    <sheet name="Gain Loss by Company" sheetId="6" r:id="rId4"/>
  </sheets>
  <calcPr calcId="191028" calcCompleted="0"/>
  <pivotCaches>
    <pivotCache cacheId="1165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1" l="1"/>
  <c r="F8" i="1"/>
  <c r="F10" i="1"/>
  <c r="F11" i="1"/>
  <c r="F4" i="1"/>
  <c r="F13" i="1"/>
  <c r="F12" i="1"/>
  <c r="F14" i="1"/>
  <c r="F24" i="1"/>
  <c r="F15" i="1"/>
  <c r="F16" i="1"/>
  <c r="F17" i="1"/>
  <c r="F18" i="1"/>
  <c r="F20" i="1"/>
  <c r="F25" i="1"/>
  <c r="F21" i="1"/>
  <c r="F19" i="1"/>
  <c r="F26" i="1"/>
  <c r="F22" i="1"/>
  <c r="F23" i="1"/>
  <c r="F27" i="1"/>
  <c r="F29" i="1"/>
  <c r="F28" i="1"/>
  <c r="F7" i="1"/>
  <c r="E4" i="1" a="1"/>
  <c r="E4" i="1" s="1"/>
  <c r="G4" i="1" s="1"/>
  <c r="H4" i="1" s="1"/>
  <c r="K4" i="1" s="1"/>
  <c r="E13" i="1" a="1"/>
  <c r="E13" i="1" s="1"/>
  <c r="G13" i="1" s="1"/>
  <c r="E12" i="1" a="1"/>
  <c r="E12" i="1" s="1"/>
  <c r="G12" i="1" s="1"/>
  <c r="E14" i="1" a="1"/>
  <c r="E14" i="1" s="1"/>
  <c r="G14" i="1" s="1"/>
  <c r="E24" i="1" a="1"/>
  <c r="E24" i="1" s="1"/>
  <c r="G24" i="1" s="1"/>
  <c r="E15" i="1" a="1"/>
  <c r="E15" i="1" s="1"/>
  <c r="G15" i="1" s="1"/>
  <c r="E16" i="1" a="1"/>
  <c r="E16" i="1" s="1"/>
  <c r="G16" i="1" s="1"/>
  <c r="E17" i="1" a="1"/>
  <c r="E17" i="1" s="1"/>
  <c r="G17" i="1" s="1"/>
  <c r="E18" i="1" a="1"/>
  <c r="E18" i="1" s="1"/>
  <c r="G18" i="1" s="1"/>
  <c r="E20" i="1" a="1"/>
  <c r="E20" i="1" s="1"/>
  <c r="G20" i="1" s="1"/>
  <c r="E25" i="1" a="1"/>
  <c r="E25" i="1" s="1"/>
  <c r="G25" i="1" s="1"/>
  <c r="E21" i="1" a="1"/>
  <c r="E21" i="1" s="1"/>
  <c r="G21" i="1" s="1"/>
  <c r="E19" i="1" a="1"/>
  <c r="E19" i="1" s="1"/>
  <c r="G19" i="1" s="1"/>
  <c r="E26" i="1" a="1"/>
  <c r="E26" i="1" s="1"/>
  <c r="G26" i="1" s="1"/>
  <c r="E22" i="1" a="1"/>
  <c r="E22" i="1" s="1"/>
  <c r="G22" i="1" s="1"/>
  <c r="E23" i="1" a="1"/>
  <c r="E23" i="1" s="1"/>
  <c r="G23" i="1" s="1"/>
  <c r="E27" i="1" a="1"/>
  <c r="E27" i="1" s="1"/>
  <c r="G27" i="1" s="1"/>
  <c r="E29" i="1" a="1"/>
  <c r="E29" i="1" s="1"/>
  <c r="G29" i="1" s="1"/>
  <c r="E28" i="1" a="1"/>
  <c r="E28" i="1" s="1"/>
  <c r="G28" i="1" s="1"/>
  <c r="E11" i="1" a="1"/>
  <c r="E11" i="1" s="1"/>
  <c r="G11" i="1" s="1"/>
  <c r="E5" i="1" a="1"/>
  <c r="E5" i="1" s="1"/>
  <c r="G5" i="1" s="1"/>
  <c r="E7" i="1" a="1"/>
  <c r="E7" i="1" s="1"/>
  <c r="G7" i="1" s="1"/>
  <c r="E9" i="1" a="1"/>
  <c r="E9" i="1" s="1"/>
  <c r="G9" i="1" s="1"/>
  <c r="E8" i="1" a="1"/>
  <c r="E8" i="1" s="1"/>
  <c r="G8" i="1" s="1"/>
  <c r="H8" i="1" s="1"/>
  <c r="K8" i="1" s="1"/>
  <c r="E10" i="1" a="1"/>
  <c r="E10" i="1" s="1"/>
  <c r="G10" i="1" s="1"/>
  <c r="F5" i="1"/>
  <c r="F6" i="1"/>
  <c r="E6" i="1" a="1"/>
  <c r="E6" i="1" s="1"/>
  <c r="G6" i="1" s="1"/>
  <c r="H25" i="1" l="1"/>
  <c r="K25" i="1" s="1"/>
  <c r="H12" i="1"/>
  <c r="K12" i="1" s="1"/>
  <c r="H20" i="1"/>
  <c r="K20" i="1" s="1"/>
  <c r="H6" i="1"/>
  <c r="K6" i="1" s="1"/>
  <c r="H7" i="1"/>
  <c r="K7" i="1" s="1"/>
  <c r="H5" i="1"/>
  <c r="K5" i="1" s="1"/>
  <c r="H28" i="1"/>
  <c r="K28" i="1" s="1"/>
  <c r="H29" i="1"/>
  <c r="K29" i="1" s="1"/>
  <c r="H27" i="1"/>
  <c r="K27" i="1" s="1"/>
  <c r="H23" i="1"/>
  <c r="K23" i="1" s="1"/>
  <c r="H22" i="1"/>
  <c r="K22" i="1" s="1"/>
  <c r="H26" i="1"/>
  <c r="K26" i="1" s="1"/>
  <c r="H19" i="1"/>
  <c r="K19" i="1" s="1"/>
  <c r="H21" i="1"/>
  <c r="K21" i="1" s="1"/>
  <c r="H18" i="1"/>
  <c r="K18" i="1" s="1"/>
  <c r="H17" i="1"/>
  <c r="K17" i="1" s="1"/>
  <c r="H16" i="1"/>
  <c r="K16" i="1" s="1"/>
  <c r="H15" i="1"/>
  <c r="K15" i="1" s="1"/>
  <c r="H24" i="1"/>
  <c r="K24" i="1" s="1"/>
  <c r="H14" i="1"/>
  <c r="K14" i="1" s="1"/>
  <c r="H13" i="1"/>
  <c r="K13" i="1" s="1"/>
  <c r="H11" i="1"/>
  <c r="H10" i="1"/>
  <c r="K10" i="1" s="1"/>
  <c r="H9" i="1"/>
  <c r="K9" i="1" s="1"/>
  <c r="B31" i="1" l="1"/>
  <c r="K11" i="1"/>
  <c r="B3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Mike Hole D</author>
  </authors>
  <commentList>
    <comment ref="A1" authorId="0" shapeId="0" xr:uid="{F7C18861-9073-C64E-97F0-74F7C2197B14}">
      <text>
        <r>
          <rPr>
            <b/>
            <sz val="10"/>
            <color rgb="FF000000"/>
            <rFont val="Tahoma"/>
            <family val="2"/>
          </rPr>
          <t>Mike Hole D:</t>
        </r>
        <r>
          <rPr>
            <sz val="10"/>
            <color rgb="FF000000"/>
            <rFont val="Tahoma"/>
            <family val="2"/>
          </rPr>
          <t xml:space="preserve"> These investments come from Robinhood.</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6">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42"/>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59"/>
        </ext>
      </extLst>
    </bk>
    <bk>
      <extLst>
        <ext uri="{3e2802c4-a4d2-4d8b-9148-e3be6c30e623}">
          <xlrd:rvb i="62"/>
        </ext>
      </extLst>
    </bk>
    <bk>
      <extLst>
        <ext uri="{3e2802c4-a4d2-4d8b-9148-e3be6c30e623}">
          <xlrd:rvb i="68"/>
        </ext>
      </extLst>
    </bk>
    <bk>
      <extLst>
        <ext uri="{3e2802c4-a4d2-4d8b-9148-e3be6c30e623}">
          <xlrd:rvb i="71"/>
        </ext>
      </extLst>
    </bk>
    <bk>
      <extLst>
        <ext uri="{3e2802c4-a4d2-4d8b-9148-e3be6c30e623}">
          <xlrd:rvb i="74"/>
        </ext>
      </extLst>
    </bk>
    <bk>
      <extLst>
        <ext uri="{3e2802c4-a4d2-4d8b-9148-e3be6c30e623}">
          <xlrd:rvb i="77"/>
        </ext>
      </extLst>
    </bk>
    <bk>
      <extLst>
        <ext uri="{3e2802c4-a4d2-4d8b-9148-e3be6c30e623}">
          <xlrd:rvb i="80"/>
        </ext>
      </extLst>
    </bk>
    <bk>
      <extLst>
        <ext uri="{3e2802c4-a4d2-4d8b-9148-e3be6c30e623}">
          <xlrd:rvb i="83"/>
        </ext>
      </extLst>
    </bk>
    <bk>
      <extLst>
        <ext uri="{3e2802c4-a4d2-4d8b-9148-e3be6c30e623}">
          <xlrd:rvb i="86"/>
        </ext>
      </extLst>
    </bk>
  </futureMetadata>
  <cellMetadata count="1">
    <bk>
      <rc t="1" v="0"/>
    </bk>
  </cellMetadata>
  <valueMetadata count="26">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valueMetadata>
</metadata>
</file>

<file path=xl/sharedStrings.xml><?xml version="1.0" encoding="utf-8"?>
<sst xmlns="http://schemas.openxmlformats.org/spreadsheetml/2006/main" count="177" uniqueCount="113">
  <si>
    <t>#</t>
  </si>
  <si>
    <t xml:space="preserve"> Feature or Function Used</t>
  </si>
  <si>
    <t xml:space="preserve"> Description</t>
  </si>
  <si>
    <t>Location</t>
  </si>
  <si>
    <t xml:space="preserve"> SUM()</t>
  </si>
  <si>
    <t xml:space="preserve"> Totals Gain/Loss</t>
  </si>
  <si>
    <t>B30</t>
  </si>
  <si>
    <t xml:space="preserve"> AVERAGE()</t>
  </si>
  <si>
    <t xml:space="preserve"> Calculates average gain/loss </t>
  </si>
  <si>
    <t>B31</t>
  </si>
  <si>
    <t xml:space="preserve"> IF()</t>
  </si>
  <si>
    <t xml:space="preserve"> Displays “Gain” or “Loss” based on Gain/Loss value</t>
  </si>
  <si>
    <t>K4-K29</t>
  </si>
  <si>
    <t xml:space="preserve"> HYPERLINK()</t>
  </si>
  <si>
    <t>Takes you to Robinhood.com</t>
  </si>
  <si>
    <t>M1</t>
  </si>
  <si>
    <t>Currency Format</t>
  </si>
  <si>
    <t xml:space="preserve"> Formats numbers to 2 decimals</t>
  </si>
  <si>
    <t>H4-H29</t>
  </si>
  <si>
    <t xml:space="preserve"> Data Validation</t>
  </si>
  <si>
    <t xml:space="preserve"> Dropdown list for “Type” either Stock or ETF</t>
  </si>
  <si>
    <t>J4-J29</t>
  </si>
  <si>
    <t xml:space="preserve"> Stock Data</t>
  </si>
  <si>
    <t xml:space="preserve"> Used to pull live prices for each stock ticker</t>
  </si>
  <si>
    <t>A4-A29</t>
  </si>
  <si>
    <t xml:space="preserve"> Conditional Formatting</t>
  </si>
  <si>
    <t xml:space="preserve"> Red for losses, green for gains in Gain/Loss column</t>
  </si>
  <si>
    <t xml:space="preserve"> Table Formatting</t>
  </si>
  <si>
    <t xml:space="preserve"> Formatted main portfolio table with filter and styles</t>
  </si>
  <si>
    <t>Total Portfolio by Stock Sheet</t>
  </si>
  <si>
    <t xml:space="preserve"> Sheet Renaming</t>
  </si>
  <si>
    <t xml:space="preserve"> Sheets labeled: Portfolio, Function Tracker, etc.</t>
  </si>
  <si>
    <t>NA</t>
  </si>
  <si>
    <t xml:space="preserve"> Sheet Tab Coloring</t>
  </si>
  <si>
    <t xml:space="preserve"> Tabs colored for clarity</t>
  </si>
  <si>
    <t>Portfolio  Sheet</t>
  </si>
  <si>
    <t>Title Formatting</t>
  </si>
  <si>
    <t xml:space="preserve"> Title styled  WordArt</t>
  </si>
  <si>
    <t>Total Portfolio by Stock Title</t>
  </si>
  <si>
    <t xml:space="preserve"> Picture Insert</t>
  </si>
  <si>
    <t xml:space="preserve"> Robinhood logo</t>
  </si>
  <si>
    <t xml:space="preserve"> Pivot Table</t>
  </si>
  <si>
    <t xml:space="preserve"> Shows Gain/Loss by Company in clear summary</t>
  </si>
  <si>
    <t>Gain Loss by Company Sheet</t>
  </si>
  <si>
    <t xml:space="preserve"> Pivot Table Formatting</t>
  </si>
  <si>
    <t xml:space="preserve"> Currency formatting in pivot table</t>
  </si>
  <si>
    <t xml:space="preserve"> Chart (Pie Chart)</t>
  </si>
  <si>
    <t xml:space="preserve"> Portfolio % by stock shown on chart tab</t>
  </si>
  <si>
    <t xml:space="preserve"> Chart Enhancements</t>
  </si>
  <si>
    <t xml:space="preserve"> Title, labels, and slice formatting on pie chart</t>
  </si>
  <si>
    <t xml:space="preserve"> Header/Footer</t>
  </si>
  <si>
    <t>Lists name, class, prof and date</t>
  </si>
  <si>
    <t>All</t>
  </si>
  <si>
    <t xml:space="preserve"> Filters on Table Headers</t>
  </si>
  <si>
    <t>Lists stocks from A-Z then from Type</t>
  </si>
  <si>
    <t>Merge &amp; Center</t>
  </si>
  <si>
    <t xml:space="preserve">Makes title fit neatly </t>
  </si>
  <si>
    <t>A1-K1</t>
  </si>
  <si>
    <t xml:space="preserve"> Save as HTML or PDF</t>
  </si>
  <si>
    <t xml:space="preserve"> Project saved in alternate format for web compatibility</t>
  </si>
  <si>
    <t>Freeze Panes</t>
  </si>
  <si>
    <t>Froze Panes so you cant move horizontally where there is no data</t>
  </si>
  <si>
    <t>Text Wrap</t>
  </si>
  <si>
    <t>Bold Font</t>
  </si>
  <si>
    <t>Makes headers look more clean</t>
  </si>
  <si>
    <t>A3-K3</t>
  </si>
  <si>
    <t>Left Alignment</t>
  </si>
  <si>
    <t>Alignment matches with dates and money</t>
  </si>
  <si>
    <t>J4-K29</t>
  </si>
  <si>
    <t>Portfolio Tracker</t>
  </si>
  <si>
    <t>Investments Come From:</t>
  </si>
  <si>
    <t>Robinhood</t>
  </si>
  <si>
    <t>Ticker Symbol</t>
  </si>
  <si>
    <t>Company Name</t>
  </si>
  <si>
    <t>Shares</t>
  </si>
  <si>
    <t>Purchase Price</t>
  </si>
  <si>
    <t>Current Price</t>
  </si>
  <si>
    <t>Total Cost</t>
  </si>
  <si>
    <t>Current Value</t>
  </si>
  <si>
    <t>Gain/Loss</t>
  </si>
  <si>
    <t>Purchase Date</t>
  </si>
  <si>
    <t>Type</t>
  </si>
  <si>
    <t>Alphabet Class C</t>
  </si>
  <si>
    <t>Stock</t>
  </si>
  <si>
    <t>Amazon</t>
  </si>
  <si>
    <t>Apple</t>
  </si>
  <si>
    <t>BigBear.ai</t>
  </si>
  <si>
    <t>Chevron</t>
  </si>
  <si>
    <t>Coca-Cola Consolidated</t>
  </si>
  <si>
    <t>Ellington Financial</t>
  </si>
  <si>
    <t>Enterprise Products</t>
  </si>
  <si>
    <t>Intel</t>
  </si>
  <si>
    <t>Gold Trust</t>
  </si>
  <si>
    <t>J.P. Morgan</t>
  </si>
  <si>
    <t xml:space="preserve">Main Street Capital </t>
  </si>
  <si>
    <t>McDonald's</t>
  </si>
  <si>
    <t>Microsoft</t>
  </si>
  <si>
    <t>NVIDIA</t>
  </si>
  <si>
    <t>Philip Morris</t>
  </si>
  <si>
    <t>Reality Income</t>
  </si>
  <si>
    <t>Roundhill Innovation</t>
  </si>
  <si>
    <t>SoFi Technologies</t>
  </si>
  <si>
    <t>Sony</t>
  </si>
  <si>
    <t>Coca-Cola</t>
  </si>
  <si>
    <t xml:space="preserve">Procter &amp; Gamble </t>
  </si>
  <si>
    <t>Schwab US Dividend Equity</t>
  </si>
  <si>
    <t>ETF</t>
  </si>
  <si>
    <t>S&amp;P 500</t>
  </si>
  <si>
    <t>Emerging Markets Fund</t>
  </si>
  <si>
    <t>Russell 2000</t>
  </si>
  <si>
    <t>NET GAIN/LOSS:</t>
  </si>
  <si>
    <t>AVERAGE GAIN/LOSS: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</si>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</sst>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_([$$-409]* #,##0.00_);_([$$-409]* \(#,##0.00\);_([$$-409]* &quot;-&quot;??_);_(@_)"/>
  </numFmts>
  <fonts count="17">
    <font>
      <sz val="12"/>
      <color theme="1"/>
      <name val="Aptos Narrow"/>
      <family val="2"/>
      <scheme val="minor"/>
    </font>
    <font>
      <sz val="18"/>
      <color theme="3"/>
      <name val="Aptos Display"/>
      <family val="2"/>
      <scheme val="major"/>
    </font>
    <font>
      <b/>
      <sz val="13"/>
      <color theme="3"/>
      <name val="Aptos Narrow"/>
      <family val="2"/>
      <scheme val="minor"/>
    </font>
    <font>
      <b/>
      <i/>
      <sz val="18"/>
      <color theme="1"/>
      <name val="Aptos Display"/>
      <family val="2"/>
      <scheme val="major"/>
    </font>
    <font>
      <b/>
      <sz val="15"/>
      <color theme="3"/>
      <name val="Aptos Narrow"/>
      <family val="2"/>
      <scheme val="minor"/>
    </font>
    <font>
      <b/>
      <sz val="13"/>
      <color theme="1"/>
      <name val="Aptos Narrow"/>
      <family val="2"/>
      <scheme val="minor"/>
    </font>
    <font>
      <sz val="13"/>
      <color theme="3"/>
      <name val="Aptos Narrow"/>
      <family val="2"/>
      <scheme val="minor"/>
    </font>
    <font>
      <sz val="10"/>
      <color rgb="FF000000"/>
      <name val="Tahoma"/>
      <family val="2"/>
    </font>
    <font>
      <b/>
      <sz val="10"/>
      <color rgb="FF000000"/>
      <name val="Tahoma"/>
      <family val="2"/>
    </font>
    <font>
      <u/>
      <sz val="12"/>
      <color theme="10"/>
      <name val="Aptos Narrow"/>
      <family val="2"/>
      <scheme val="minor"/>
    </font>
    <font>
      <b/>
      <u/>
      <sz val="12"/>
      <color theme="10"/>
      <name val="Aptos Narrow"/>
      <family val="2"/>
      <scheme val="minor"/>
    </font>
    <font>
      <b/>
      <sz val="12"/>
      <color theme="1"/>
      <name val="Aptos Narrow"/>
      <family val="2"/>
      <scheme val="minor"/>
    </font>
    <font>
      <b/>
      <sz val="13.5"/>
      <color theme="3"/>
      <name val="Aptos Narrow"/>
      <family val="2"/>
      <scheme val="minor"/>
    </font>
    <font>
      <sz val="13.5"/>
      <color rgb="FF000000"/>
      <name val="Arial"/>
      <family val="2"/>
    </font>
    <font>
      <sz val="13.5"/>
      <color theme="1"/>
      <name val="Aptos Narrow"/>
      <family val="2"/>
      <scheme val="minor"/>
    </font>
    <font>
      <sz val="13"/>
      <color theme="0"/>
      <name val="Aptos Narrow"/>
      <family val="2"/>
      <scheme val="minor"/>
    </font>
    <font>
      <b/>
      <sz val="13"/>
      <color theme="0"/>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11">
    <border>
      <left/>
      <right/>
      <top/>
      <bottom/>
      <diagonal/>
    </border>
    <border>
      <left/>
      <right/>
      <top/>
      <bottom style="thick">
        <color theme="4" tint="0.499984740745262"/>
      </bottom>
      <diagonal/>
    </border>
    <border>
      <left/>
      <right/>
      <top/>
      <bottom style="thick">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1" fillId="0" borderId="0" applyNumberFormat="0" applyFill="0" applyBorder="0" applyAlignment="0" applyProtection="0"/>
    <xf numFmtId="0" fontId="2" fillId="0" borderId="1" applyNumberFormat="0" applyFill="0" applyAlignment="0" applyProtection="0"/>
    <xf numFmtId="0" fontId="4" fillId="0" borderId="2" applyNumberFormat="0" applyFill="0" applyAlignment="0" applyProtection="0"/>
    <xf numFmtId="0" fontId="9" fillId="0" borderId="0" applyNumberFormat="0" applyFill="0" applyBorder="0" applyAlignment="0" applyProtection="0"/>
  </cellStyleXfs>
  <cellXfs count="43">
    <xf numFmtId="0" fontId="0" fillId="0" borderId="0" xfId="0"/>
    <xf numFmtId="0" fontId="2" fillId="0" borderId="1" xfId="2"/>
    <xf numFmtId="0" fontId="6" fillId="0" borderId="6" xfId="2" applyFont="1" applyFill="1" applyBorder="1"/>
    <xf numFmtId="0" fontId="6" fillId="0" borderId="0" xfId="2" applyFont="1" applyFill="1" applyBorder="1"/>
    <xf numFmtId="2" fontId="6" fillId="0" borderId="0" xfId="2" applyNumberFormat="1" applyFont="1" applyFill="1" applyBorder="1"/>
    <xf numFmtId="44" fontId="6" fillId="0" borderId="0" xfId="2" applyNumberFormat="1" applyFont="1" applyFill="1" applyBorder="1"/>
    <xf numFmtId="165" fontId="6" fillId="0" borderId="0" xfId="2" applyNumberFormat="1" applyFont="1" applyFill="1" applyBorder="1"/>
    <xf numFmtId="14" fontId="6" fillId="0" borderId="0" xfId="2" applyNumberFormat="1" applyFont="1" applyFill="1" applyBorder="1"/>
    <xf numFmtId="0" fontId="5" fillId="0" borderId="8" xfId="0" applyFont="1" applyBorder="1" applyAlignment="1">
      <alignment horizontal="right"/>
    </xf>
    <xf numFmtId="0" fontId="0" fillId="0" borderId="9" xfId="0" applyBorder="1"/>
    <xf numFmtId="0" fontId="0" fillId="0" borderId="10" xfId="0" applyBorder="1"/>
    <xf numFmtId="0" fontId="0" fillId="0" borderId="0" xfId="0" applyAlignment="1">
      <alignment horizontal="left"/>
    </xf>
    <xf numFmtId="164" fontId="0" fillId="0" borderId="0" xfId="0" applyNumberFormat="1"/>
    <xf numFmtId="0" fontId="4" fillId="0" borderId="2" xfId="0" pivotButton="1" applyFont="1" applyBorder="1"/>
    <xf numFmtId="0" fontId="4" fillId="0" borderId="2" xfId="0" applyFont="1" applyBorder="1"/>
    <xf numFmtId="0" fontId="4" fillId="0" borderId="0" xfId="3" applyBorder="1"/>
    <xf numFmtId="0" fontId="4" fillId="0" borderId="0" xfId="3" applyBorder="1" applyAlignment="1">
      <alignment horizontal="right"/>
    </xf>
    <xf numFmtId="0" fontId="4" fillId="0" borderId="0" xfId="2" applyFont="1" applyFill="1" applyBorder="1"/>
    <xf numFmtId="0" fontId="4" fillId="0" borderId="6" xfId="3" applyBorder="1"/>
    <xf numFmtId="0" fontId="5" fillId="0" borderId="3" xfId="0" applyFont="1" applyBorder="1" applyAlignment="1">
      <alignment horizontal="right"/>
    </xf>
    <xf numFmtId="0" fontId="2" fillId="0" borderId="4" xfId="0" applyFont="1" applyBorder="1"/>
    <xf numFmtId="164" fontId="2" fillId="0" borderId="4" xfId="0" applyNumberFormat="1" applyFont="1" applyBorder="1"/>
    <xf numFmtId="0" fontId="2" fillId="0" borderId="5" xfId="0" applyFont="1" applyBorder="1"/>
    <xf numFmtId="0" fontId="0" fillId="0" borderId="0" xfId="0" applyAlignment="1">
      <alignment horizontal="right"/>
    </xf>
    <xf numFmtId="0" fontId="0" fillId="2" borderId="0" xfId="0" applyFill="1"/>
    <xf numFmtId="0" fontId="12" fillId="3" borderId="1" xfId="2" applyFont="1" applyFill="1" applyAlignment="1">
      <alignment horizontal="center" vertical="center"/>
    </xf>
    <xf numFmtId="0" fontId="12" fillId="3" borderId="1" xfId="2" applyFont="1" applyFill="1"/>
    <xf numFmtId="0" fontId="13" fillId="0" borderId="0" xfId="0" applyFont="1" applyAlignment="1">
      <alignment horizontal="center" vertical="center"/>
    </xf>
    <xf numFmtId="0" fontId="14" fillId="0" borderId="0" xfId="0" applyFont="1"/>
    <xf numFmtId="0" fontId="13" fillId="0" borderId="0" xfId="0" applyFont="1"/>
    <xf numFmtId="0" fontId="6" fillId="0" borderId="0" xfId="2" applyFont="1" applyFill="1" applyBorder="1" applyAlignment="1">
      <alignment horizontal="right"/>
    </xf>
    <xf numFmtId="0" fontId="15" fillId="2" borderId="0" xfId="2" applyNumberFormat="1" applyFont="1" applyFill="1" applyBorder="1"/>
    <xf numFmtId="164" fontId="16" fillId="0" borderId="4" xfId="0" applyNumberFormat="1" applyFont="1" applyBorder="1" applyAlignment="1">
      <alignment horizontal="left"/>
    </xf>
    <xf numFmtId="164" fontId="16" fillId="2" borderId="9" xfId="0" applyNumberFormat="1" applyFont="1" applyFill="1" applyBorder="1" applyAlignment="1">
      <alignment horizontal="left"/>
    </xf>
    <xf numFmtId="0" fontId="11" fillId="2" borderId="0" xfId="0" applyFont="1" applyFill="1" applyAlignment="1">
      <alignment horizontal="center" vertical="center"/>
    </xf>
    <xf numFmtId="0" fontId="10" fillId="2" borderId="0" xfId="4" applyFont="1" applyFill="1" applyAlignment="1">
      <alignment horizontal="center" vertical="center"/>
    </xf>
    <xf numFmtId="0" fontId="10" fillId="2" borderId="0" xfId="4" applyFont="1" applyFill="1" applyBorder="1" applyAlignment="1">
      <alignment horizontal="center" vertical="center"/>
    </xf>
    <xf numFmtId="0" fontId="3" fillId="0" borderId="3" xfId="1" applyFont="1" applyBorder="1" applyAlignment="1">
      <alignment horizontal="center" vertical="center" wrapText="1"/>
    </xf>
    <xf numFmtId="0" fontId="3" fillId="0" borderId="4" xfId="1" applyFont="1" applyBorder="1" applyAlignment="1">
      <alignment horizontal="center" vertical="center" wrapText="1"/>
    </xf>
    <xf numFmtId="0" fontId="3" fillId="0" borderId="5" xfId="1" applyFont="1" applyBorder="1" applyAlignment="1">
      <alignment horizontal="center" vertical="center" wrapText="1"/>
    </xf>
    <xf numFmtId="0" fontId="3" fillId="0" borderId="6" xfId="1" applyFont="1" applyBorder="1" applyAlignment="1">
      <alignment horizontal="center" vertical="center" wrapText="1"/>
    </xf>
    <xf numFmtId="0" fontId="3" fillId="0" borderId="0" xfId="1" applyFont="1" applyBorder="1" applyAlignment="1">
      <alignment horizontal="center" vertical="center" wrapText="1"/>
    </xf>
    <xf numFmtId="0" fontId="3" fillId="0" borderId="7" xfId="1" applyFont="1" applyBorder="1" applyAlignment="1">
      <alignment horizontal="center" vertical="center" wrapText="1"/>
    </xf>
  </cellXfs>
  <cellStyles count="5">
    <cellStyle name="Heading 1" xfId="3" builtinId="16"/>
    <cellStyle name="Heading 2" xfId="2" builtinId="17"/>
    <cellStyle name="Hyperlink" xfId="4" builtinId="8"/>
    <cellStyle name="Normal" xfId="0" builtinId="0"/>
    <cellStyle name="Title" xfId="1" builtinId="15"/>
  </cellStyles>
  <dxfs count="15">
    <dxf>
      <font>
        <b/>
        <i val="0"/>
        <strike val="0"/>
        <condense val="0"/>
        <extend val="0"/>
        <outline val="0"/>
        <shadow val="0"/>
        <u val="none"/>
        <vertAlign val="baseline"/>
        <sz val="13"/>
        <color theme="3"/>
        <name val="Aptos Narrow"/>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3"/>
        <color theme="3"/>
        <name val="Aptos Narrow"/>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style="thin">
          <color indexed="64"/>
        </top>
        <bottom/>
      </border>
    </dxf>
    <dxf>
      <font>
        <b/>
        <i val="0"/>
        <strike val="0"/>
        <condense val="0"/>
        <extend val="0"/>
        <outline val="0"/>
        <shadow val="0"/>
        <u val="none"/>
        <vertAlign val="baseline"/>
        <sz val="13"/>
        <color theme="3"/>
        <name val="Aptos Narrow"/>
        <family val="2"/>
        <scheme val="minor"/>
      </font>
      <fill>
        <patternFill patternType="none">
          <fgColor indexed="64"/>
          <bgColor indexed="65"/>
        </patternFill>
      </fill>
      <border diagonalUp="0" diagonalDown="0" outline="0">
        <left/>
        <right/>
        <top style="thin">
          <color indexed="64"/>
        </top>
        <bottom/>
      </border>
    </dxf>
    <dxf>
      <font>
        <b/>
        <i val="0"/>
        <strike val="0"/>
        <condense val="0"/>
        <extend val="0"/>
        <outline val="0"/>
        <shadow val="0"/>
        <u val="none"/>
        <vertAlign val="baseline"/>
        <sz val="13"/>
        <color theme="0"/>
        <name val="Aptos Narrow"/>
        <family val="2"/>
        <scheme val="minor"/>
      </font>
      <numFmt numFmtId="0" formatCode="General"/>
      <fill>
        <patternFill patternType="solid">
          <fgColor indexed="64"/>
          <bgColor theme="0"/>
        </patternFill>
      </fill>
      <border diagonalUp="0" diagonalDown="0">
        <left/>
        <right/>
        <top style="thin">
          <color indexed="64"/>
        </top>
        <bottom/>
      </border>
    </dxf>
    <dxf>
      <font>
        <b/>
        <i val="0"/>
        <strike val="0"/>
        <condense val="0"/>
        <extend val="0"/>
        <outline val="0"/>
        <shadow val="0"/>
        <u val="none"/>
        <vertAlign val="baseline"/>
        <sz val="13"/>
        <color theme="0"/>
        <name val="Aptos Narrow"/>
        <family val="2"/>
        <scheme val="minor"/>
      </font>
      <numFmt numFmtId="0" formatCode="General"/>
      <fill>
        <patternFill patternType="solid">
          <fgColor indexed="64"/>
          <bgColor theme="0"/>
        </patternFill>
      </fill>
      <border diagonalUp="0" diagonalDown="0">
        <left/>
        <right/>
        <top style="thin">
          <color indexed="64"/>
        </top>
        <bottom/>
      </border>
    </dxf>
    <dxf>
      <font>
        <b/>
        <i val="0"/>
        <strike val="0"/>
        <condense val="0"/>
        <extend val="0"/>
        <outline val="0"/>
        <shadow val="0"/>
        <u val="none"/>
        <vertAlign val="baseline"/>
        <sz val="13"/>
        <color theme="3"/>
        <name val="Aptos Narrow"/>
        <family val="2"/>
        <scheme val="minor"/>
      </font>
      <fill>
        <patternFill patternType="none">
          <fgColor indexed="64"/>
          <bgColor indexed="65"/>
        </patternFill>
      </fill>
      <border diagonalUp="0" diagonalDown="0" outline="0">
        <left/>
        <right/>
        <top style="thin">
          <color indexed="64"/>
        </top>
        <bottom/>
      </border>
    </dxf>
    <dxf>
      <font>
        <b/>
        <i val="0"/>
        <strike val="0"/>
        <condense val="0"/>
        <extend val="0"/>
        <outline val="0"/>
        <shadow val="0"/>
        <u val="none"/>
        <vertAlign val="baseline"/>
        <sz val="13"/>
        <color theme="3"/>
        <name val="Aptos Narrow"/>
        <family val="2"/>
        <scheme val="minor"/>
      </font>
      <fill>
        <patternFill patternType="none">
          <fgColor indexed="64"/>
          <bgColor indexed="65"/>
        </patternFill>
      </fill>
      <border diagonalUp="0" diagonalDown="0" outline="0">
        <left/>
        <right/>
        <top style="thin">
          <color indexed="64"/>
        </top>
        <bottom/>
      </border>
    </dxf>
    <dxf>
      <font>
        <b/>
        <i val="0"/>
        <strike val="0"/>
        <condense val="0"/>
        <extend val="0"/>
        <outline val="0"/>
        <shadow val="0"/>
        <u val="none"/>
        <vertAlign val="baseline"/>
        <sz val="13"/>
        <color theme="3"/>
        <name val="Aptos Narrow"/>
        <family val="2"/>
        <scheme val="minor"/>
      </font>
      <fill>
        <patternFill patternType="none">
          <fgColor indexed="64"/>
          <bgColor indexed="65"/>
        </patternFill>
      </fill>
      <border diagonalUp="0" diagonalDown="0" outline="0">
        <left/>
        <right/>
        <top style="thin">
          <color indexed="64"/>
        </top>
        <bottom/>
      </border>
    </dxf>
    <dxf>
      <font>
        <b/>
        <i val="0"/>
        <strike val="0"/>
        <condense val="0"/>
        <extend val="0"/>
        <outline val="0"/>
        <shadow val="0"/>
        <u val="none"/>
        <vertAlign val="baseline"/>
        <sz val="13"/>
        <color theme="3"/>
        <name val="Aptos Narrow"/>
        <family val="2"/>
        <scheme val="minor"/>
      </font>
      <fill>
        <patternFill patternType="none">
          <fgColor indexed="64"/>
          <bgColor indexed="65"/>
        </patternFill>
      </fill>
      <border diagonalUp="0" diagonalDown="0" outline="0">
        <left/>
        <right/>
        <top style="thin">
          <color indexed="64"/>
        </top>
        <bottom/>
      </border>
    </dxf>
    <dxf>
      <font>
        <b/>
        <i val="0"/>
        <strike val="0"/>
        <condense val="0"/>
        <extend val="0"/>
        <outline val="0"/>
        <shadow val="0"/>
        <u val="none"/>
        <vertAlign val="baseline"/>
        <sz val="13"/>
        <color theme="0"/>
        <name val="Aptos Narrow"/>
        <family val="2"/>
        <scheme val="minor"/>
      </font>
      <numFmt numFmtId="164" formatCode="&quot;$&quot;#,##0.00"/>
      <fill>
        <patternFill patternType="none">
          <fgColor indexed="64"/>
          <bgColor indexed="65"/>
        </patternFill>
      </fill>
      <alignment horizontal="left" vertical="bottom" textRotation="0" wrapText="0" indent="0" justifyLastLine="0" shrinkToFit="0" readingOrder="0"/>
      <border diagonalUp="0" diagonalDown="0">
        <left/>
        <right/>
        <top style="thin">
          <color indexed="64"/>
        </top>
        <bottom/>
      </border>
    </dxf>
    <dxf>
      <font>
        <b/>
        <i val="0"/>
        <strike val="0"/>
        <condense val="0"/>
        <extend val="0"/>
        <outline val="0"/>
        <shadow val="0"/>
        <u val="none"/>
        <vertAlign val="baseline"/>
        <sz val="13"/>
        <color theme="1"/>
        <name val="Aptos Narrow"/>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style="thin">
          <color indexed="64"/>
        </top>
        <bottom/>
      </border>
    </dxf>
    <dxf>
      <font>
        <color theme="9"/>
      </font>
    </dxf>
    <dxf>
      <font>
        <color rgb="FFFF0000"/>
      </font>
    </dxf>
    <dxf>
      <font>
        <b/>
        <i val="0"/>
        <strike val="0"/>
        <condense val="0"/>
        <extend val="0"/>
        <outline val="0"/>
        <shadow val="0"/>
        <u val="none"/>
        <vertAlign val="baseline"/>
        <sz val="15"/>
        <color theme="3"/>
        <name val="Aptos Narrow"/>
        <family val="2"/>
        <scheme val="minor"/>
      </font>
      <border diagonalUp="0" diagonalDown="0" outline="0">
        <left/>
        <right/>
        <top/>
        <bottom style="thick">
          <color theme="4"/>
        </bottom>
      </border>
    </dxf>
    <dxf>
      <font>
        <b/>
        <i val="0"/>
        <strike val="0"/>
        <condense val="0"/>
        <extend val="0"/>
        <outline val="0"/>
        <shadow val="0"/>
        <u val="none"/>
        <vertAlign val="baseline"/>
        <sz val="15"/>
        <color theme="3"/>
        <name val="Aptos Narrow"/>
        <family val="2"/>
        <scheme val="minor"/>
      </font>
      <border diagonalUp="0" diagonalDown="0" outline="0">
        <left/>
        <right/>
        <top/>
        <bottom style="thick">
          <color theme="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ichStyles" Target="richData/richStyles.xml"/><Relationship Id="rId18" Type="http://schemas.openxmlformats.org/officeDocument/2006/relationships/customXml" Target="../customXml/item1.xml"/><Relationship Id="rId3" Type="http://schemas.openxmlformats.org/officeDocument/2006/relationships/chartsheet" Target="chartsheets/sheet1.xml"/><Relationship Id="rId7" Type="http://schemas.openxmlformats.org/officeDocument/2006/relationships/styles" Target="styles.xml"/><Relationship Id="rId12" Type="http://schemas.microsoft.com/office/2017/06/relationships/rdArray" Target="richData/rdarray.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pivotCacheDefinition" Target="pivotCache/pivotCacheDefinition1.xml"/><Relationship Id="rId15" Type="http://schemas.microsoft.com/office/2017/06/relationships/rdSupportingPropertyBag" Target="richData/rdsupportingpropertybag.xml"/><Relationship Id="rId10" Type="http://schemas.microsoft.com/office/2017/06/relationships/rdRichValue" Target="richData/rdrichvalue.xml"/><Relationship Id="rId19" Type="http://schemas.openxmlformats.org/officeDocument/2006/relationships/customXml" Target="../customXml/item2.xml"/><Relationship Id="rId4" Type="http://schemas.openxmlformats.org/officeDocument/2006/relationships/worksheet" Target="worksheets/sheet3.xml"/><Relationship Id="rId9" Type="http://schemas.openxmlformats.org/officeDocument/2006/relationships/sheetMetadata" Target="metadata.xml"/><Relationship Id="rId14" Type="http://schemas.microsoft.com/office/2017/06/relationships/rdSupportingPropertyBagStructure" Target="richData/rdsupportingpropertybag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none" spc="0" baseline="0">
                <a:ln/>
                <a:solidFill>
                  <a:schemeClr val="accent4"/>
                </a:solidFill>
                <a:effectLst/>
                <a:latin typeface="+mn-lt"/>
                <a:ea typeface="+mn-ea"/>
                <a:cs typeface="+mn-cs"/>
              </a:defRPr>
            </a:pPr>
            <a:r>
              <a:rPr lang="en-US" sz="2000" b="1" cap="none" spc="0">
                <a:ln/>
                <a:solidFill>
                  <a:schemeClr val="accent4"/>
                </a:solidFill>
                <a:effectLst/>
              </a:rPr>
              <a:t>Each Stock/ETF In Portfolio</a:t>
            </a:r>
          </a:p>
        </c:rich>
      </c:tx>
      <c:overlay val="0"/>
      <c:spPr>
        <a:noFill/>
        <a:ln>
          <a:noFill/>
        </a:ln>
        <a:effectLst/>
      </c:spPr>
      <c:txPr>
        <a:bodyPr rot="0" spcFirstLastPara="1" vertOverflow="ellipsis" vert="horz" wrap="square" anchor="ctr" anchorCtr="1"/>
        <a:lstStyle/>
        <a:p>
          <a:pPr>
            <a:defRPr sz="2000" b="1" i="0" u="none" strike="noStrike" kern="1200" cap="none" spc="0" baseline="0">
              <a:ln/>
              <a:solidFill>
                <a:schemeClr val="accent4"/>
              </a:solidFill>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251-5842-864C-5A9AE64AF3C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251-5842-864C-5A9AE64AF3C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51-5842-864C-5A9AE64AF3C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51-5842-864C-5A9AE64AF3C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251-5842-864C-5A9AE64AF3C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251-5842-864C-5A9AE64AF3C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251-5842-864C-5A9AE64AF3C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251-5842-864C-5A9AE64AF3C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2251-5842-864C-5A9AE64AF3C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2251-5842-864C-5A9AE64AF3CE}"/>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2251-5842-864C-5A9AE64AF3CE}"/>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2251-5842-864C-5A9AE64AF3CE}"/>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2251-5842-864C-5A9AE64AF3CE}"/>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2251-5842-864C-5A9AE64AF3CE}"/>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2251-5842-864C-5A9AE64AF3CE}"/>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2251-5842-864C-5A9AE64AF3CE}"/>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2251-5842-864C-5A9AE64AF3CE}"/>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2251-5842-864C-5A9AE64AF3CE}"/>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2251-5842-864C-5A9AE64AF3CE}"/>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2251-5842-864C-5A9AE64AF3CE}"/>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2251-5842-864C-5A9AE64AF3CE}"/>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2251-5842-864C-5A9AE64AF3CE}"/>
              </c:ext>
            </c:extLst>
          </c:dPt>
          <c:dPt>
            <c:idx val="22"/>
            <c:bubble3D val="0"/>
            <c:explosion val="5"/>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2251-5842-864C-5A9AE64AF3CE}"/>
              </c:ext>
            </c:extLst>
          </c:dPt>
          <c:dPt>
            <c:idx val="23"/>
            <c:bubble3D val="0"/>
            <c:explosion val="5"/>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2251-5842-864C-5A9AE64AF3CE}"/>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2251-5842-864C-5A9AE64AF3CE}"/>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2251-5842-864C-5A9AE64AF3CE}"/>
              </c:ext>
            </c:extLst>
          </c:dPt>
          <c:dLbls>
            <c:dLbl>
              <c:idx val="2"/>
              <c:delete val="1"/>
              <c:extLst>
                <c:ext xmlns:c15="http://schemas.microsoft.com/office/drawing/2012/chart" uri="{CE6537A1-D6FC-4f65-9D91-7224C49458BB}"/>
                <c:ext xmlns:c16="http://schemas.microsoft.com/office/drawing/2014/chart" uri="{C3380CC4-5D6E-409C-BE32-E72D297353CC}">
                  <c16:uniqueId val="{00000005-2251-5842-864C-5A9AE64AF3CE}"/>
                </c:ext>
              </c:extLst>
            </c:dLbl>
            <c:dLbl>
              <c:idx val="3"/>
              <c:delete val="1"/>
              <c:extLst>
                <c:ext xmlns:c15="http://schemas.microsoft.com/office/drawing/2012/chart" uri="{CE6537A1-D6FC-4f65-9D91-7224C49458BB}"/>
                <c:ext xmlns:c16="http://schemas.microsoft.com/office/drawing/2014/chart" uri="{C3380CC4-5D6E-409C-BE32-E72D297353CC}">
                  <c16:uniqueId val="{00000007-2251-5842-864C-5A9AE64AF3CE}"/>
                </c:ext>
              </c:extLst>
            </c:dLbl>
            <c:dLbl>
              <c:idx val="4"/>
              <c:delete val="1"/>
              <c:extLst>
                <c:ext xmlns:c15="http://schemas.microsoft.com/office/drawing/2012/chart" uri="{CE6537A1-D6FC-4f65-9D91-7224C49458BB}"/>
                <c:ext xmlns:c16="http://schemas.microsoft.com/office/drawing/2014/chart" uri="{C3380CC4-5D6E-409C-BE32-E72D297353CC}">
                  <c16:uniqueId val="{00000009-2251-5842-864C-5A9AE64AF3CE}"/>
                </c:ext>
              </c:extLst>
            </c:dLbl>
            <c:dLbl>
              <c:idx val="5"/>
              <c:delete val="1"/>
              <c:extLst>
                <c:ext xmlns:c15="http://schemas.microsoft.com/office/drawing/2012/chart" uri="{CE6537A1-D6FC-4f65-9D91-7224C49458BB}"/>
                <c:ext xmlns:c16="http://schemas.microsoft.com/office/drawing/2014/chart" uri="{C3380CC4-5D6E-409C-BE32-E72D297353CC}">
                  <c16:uniqueId val="{0000000B-2251-5842-864C-5A9AE64AF3CE}"/>
                </c:ext>
              </c:extLst>
            </c:dLbl>
            <c:dLbl>
              <c:idx val="6"/>
              <c:delete val="1"/>
              <c:extLst>
                <c:ext xmlns:c15="http://schemas.microsoft.com/office/drawing/2012/chart" uri="{CE6537A1-D6FC-4f65-9D91-7224C49458BB}"/>
                <c:ext xmlns:c16="http://schemas.microsoft.com/office/drawing/2014/chart" uri="{C3380CC4-5D6E-409C-BE32-E72D297353CC}">
                  <c16:uniqueId val="{0000000D-2251-5842-864C-5A9AE64AF3CE}"/>
                </c:ext>
              </c:extLst>
            </c:dLbl>
            <c:dLbl>
              <c:idx val="12"/>
              <c:delete val="1"/>
              <c:extLst>
                <c:ext xmlns:c15="http://schemas.microsoft.com/office/drawing/2012/chart" uri="{CE6537A1-D6FC-4f65-9D91-7224C49458BB}"/>
                <c:ext xmlns:c16="http://schemas.microsoft.com/office/drawing/2014/chart" uri="{C3380CC4-5D6E-409C-BE32-E72D297353CC}">
                  <c16:uniqueId val="{00000019-2251-5842-864C-5A9AE64AF3CE}"/>
                </c:ext>
              </c:extLst>
            </c:dLbl>
            <c:dLbl>
              <c:idx val="21"/>
              <c:delete val="1"/>
              <c:extLst>
                <c:ext xmlns:c15="http://schemas.microsoft.com/office/drawing/2012/chart" uri="{CE6537A1-D6FC-4f65-9D91-7224C49458BB}"/>
                <c:ext xmlns:c16="http://schemas.microsoft.com/office/drawing/2014/chart" uri="{C3380CC4-5D6E-409C-BE32-E72D297353CC}">
                  <c16:uniqueId val="{0000002B-2251-5842-864C-5A9AE64AF3CE}"/>
                </c:ext>
              </c:extLst>
            </c:dLbl>
            <c:dLbl>
              <c:idx val="25"/>
              <c:delete val="1"/>
              <c:extLst>
                <c:ext xmlns:c15="http://schemas.microsoft.com/office/drawing/2012/chart" uri="{CE6537A1-D6FC-4f65-9D91-7224C49458BB}"/>
                <c:ext xmlns:c16="http://schemas.microsoft.com/office/drawing/2014/chart" uri="{C3380CC4-5D6E-409C-BE32-E72D297353CC}">
                  <c16:uniqueId val="{00000033-2251-5842-864C-5A9AE64AF3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glow rad="101600">
                        <a:schemeClr val="bg1">
                          <a:alpha val="60000"/>
                        </a:schemeClr>
                      </a:glow>
                      <a:innerShdw blurRad="63500" dist="50800" dir="13500000">
                        <a:prstClr val="black">
                          <a:alpha val="50000"/>
                        </a:prstClr>
                      </a:innerShdw>
                    </a:effectLst>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Portfolio!$B$4:$B$29</c:f>
              <c:strCache>
                <c:ptCount val="26"/>
                <c:pt idx="0">
                  <c:v>Alphabet Class C</c:v>
                </c:pt>
                <c:pt idx="1">
                  <c:v>Amazon</c:v>
                </c:pt>
                <c:pt idx="2">
                  <c:v>Apple</c:v>
                </c:pt>
                <c:pt idx="3">
                  <c:v>BigBear.ai</c:v>
                </c:pt>
                <c:pt idx="4">
                  <c:v>Chevron</c:v>
                </c:pt>
                <c:pt idx="5">
                  <c:v>Coca-Cola Consolidated</c:v>
                </c:pt>
                <c:pt idx="6">
                  <c:v>Ellington Financial</c:v>
                </c:pt>
                <c:pt idx="7">
                  <c:v>Enterprise Products</c:v>
                </c:pt>
                <c:pt idx="8">
                  <c:v>Intel</c:v>
                </c:pt>
                <c:pt idx="9">
                  <c:v>Gold Trust</c:v>
                </c:pt>
                <c:pt idx="10">
                  <c:v>J.P. Morgan</c:v>
                </c:pt>
                <c:pt idx="11">
                  <c:v>Main Street Capital </c:v>
                </c:pt>
                <c:pt idx="12">
                  <c:v>McDonald's</c:v>
                </c:pt>
                <c:pt idx="13">
                  <c:v>Microsoft</c:v>
                </c:pt>
                <c:pt idx="14">
                  <c:v>NVIDIA</c:v>
                </c:pt>
                <c:pt idx="15">
                  <c:v>Philip Morris</c:v>
                </c:pt>
                <c:pt idx="16">
                  <c:v>Reality Income</c:v>
                </c:pt>
                <c:pt idx="17">
                  <c:v>Roundhill Innovation</c:v>
                </c:pt>
                <c:pt idx="18">
                  <c:v>SoFi Technologies</c:v>
                </c:pt>
                <c:pt idx="19">
                  <c:v>Sony</c:v>
                </c:pt>
                <c:pt idx="20">
                  <c:v>Coca-Cola</c:v>
                </c:pt>
                <c:pt idx="21">
                  <c:v>Procter &amp; Gamble </c:v>
                </c:pt>
                <c:pt idx="22">
                  <c:v>Schwab US Dividend Equity</c:v>
                </c:pt>
                <c:pt idx="23">
                  <c:v>S&amp;P 500</c:v>
                </c:pt>
                <c:pt idx="24">
                  <c:v>Emerging Markets Fund</c:v>
                </c:pt>
                <c:pt idx="25">
                  <c:v>Russell 2000</c:v>
                </c:pt>
              </c:strCache>
            </c:strRef>
          </c:cat>
          <c:val>
            <c:numRef>
              <c:f>Portfolio!$G$4:$G$29</c:f>
              <c:numCache>
                <c:formatCode>General</c:formatCode>
                <c:ptCount val="26"/>
                <c:pt idx="0">
                  <c:v>272.53049999999996</c:v>
                </c:pt>
                <c:pt idx="1">
                  <c:v>119.56</c:v>
                </c:pt>
                <c:pt idx="2">
                  <c:v>11.254501782</c:v>
                </c:pt>
                <c:pt idx="3">
                  <c:v>18.36</c:v>
                </c:pt>
                <c:pt idx="4">
                  <c:v>5.6066336400000001</c:v>
                </c:pt>
                <c:pt idx="5">
                  <c:v>14.055829199999998</c:v>
                </c:pt>
                <c:pt idx="6">
                  <c:v>30.681899999999999</c:v>
                </c:pt>
                <c:pt idx="7">
                  <c:v>146.331235865</c:v>
                </c:pt>
                <c:pt idx="8">
                  <c:v>187.96799999999999</c:v>
                </c:pt>
                <c:pt idx="9">
                  <c:v>91.35</c:v>
                </c:pt>
                <c:pt idx="10">
                  <c:v>58.92</c:v>
                </c:pt>
                <c:pt idx="11">
                  <c:v>63.96</c:v>
                </c:pt>
                <c:pt idx="12">
                  <c:v>30.741000000000003</c:v>
                </c:pt>
                <c:pt idx="13">
                  <c:v>137.958</c:v>
                </c:pt>
                <c:pt idx="14">
                  <c:v>757.26124499999992</c:v>
                </c:pt>
                <c:pt idx="15">
                  <c:v>175.08264187999998</c:v>
                </c:pt>
                <c:pt idx="16">
                  <c:v>86.775089800000003</c:v>
                </c:pt>
                <c:pt idx="17">
                  <c:v>71.076923489999999</c:v>
                </c:pt>
                <c:pt idx="18">
                  <c:v>104.71330974</c:v>
                </c:pt>
                <c:pt idx="19">
                  <c:v>120.64</c:v>
                </c:pt>
                <c:pt idx="20">
                  <c:v>74.650499999999994</c:v>
                </c:pt>
                <c:pt idx="21">
                  <c:v>16.395537300000001</c:v>
                </c:pt>
                <c:pt idx="22">
                  <c:v>2456.088228225</c:v>
                </c:pt>
                <c:pt idx="23">
                  <c:v>3080.7248069999996</c:v>
                </c:pt>
                <c:pt idx="24">
                  <c:v>57.546421649999999</c:v>
                </c:pt>
                <c:pt idx="25">
                  <c:v>11.92029</c:v>
                </c:pt>
              </c:numCache>
            </c:numRef>
          </c:val>
          <c:extLst>
            <c:ext xmlns:c16="http://schemas.microsoft.com/office/drawing/2014/chart" uri="{C3380CC4-5D6E-409C-BE32-E72D297353CC}">
              <c16:uniqueId val="{00000034-2251-5842-864C-5A9AE64AF3CE}"/>
            </c:ext>
          </c:extLst>
        </c:ser>
        <c:dLbls>
          <c:dLblPos val="ctr"/>
          <c:showLegendKey val="0"/>
          <c:showVal val="0"/>
          <c:showCatName val="1"/>
          <c:showSerName val="0"/>
          <c:showPercent val="1"/>
          <c:showBubbleSize val="0"/>
          <c:showLeaderLines val="1"/>
        </c:dLbls>
        <c:firstSliceAng val="3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2908FA7-79A4-8141-8742-C21BD035C013}">
  <sheetPr codeName="Chart3"/>
  <sheetViews>
    <sheetView zoomScale="104" workbookViewId="0" zoomToFit="1"/>
  </sheetViews>
  <pageMargins left="0.7" right="0.7" top="0.75" bottom="0.75" header="0.3" footer="0.3"/>
  <pageSetup orientation="landscape" r:id="rId1"/>
  <drawing r:id="rId2"/>
</chartsheet>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457200</xdr:colOff>
      <xdr:row>0</xdr:row>
      <xdr:rowOff>127000</xdr:rowOff>
    </xdr:from>
    <xdr:to>
      <xdr:col>4</xdr:col>
      <xdr:colOff>876300</xdr:colOff>
      <xdr:row>1</xdr:row>
      <xdr:rowOff>241300</xdr:rowOff>
    </xdr:to>
    <xdr:pic>
      <xdr:nvPicPr>
        <xdr:cNvPr id="5" name="Picture 4">
          <a:extLst>
            <a:ext uri="{FF2B5EF4-FFF2-40B4-BE49-F238E27FC236}">
              <a16:creationId xmlns:a16="http://schemas.microsoft.com/office/drawing/2014/main" id="{99225063-308D-3F94-1510-687D724A6B4E}"/>
            </a:ext>
          </a:extLst>
        </xdr:cNvPr>
        <xdr:cNvPicPr>
          <a:picLocks noChangeAspect="1"/>
        </xdr:cNvPicPr>
      </xdr:nvPicPr>
      <xdr:blipFill>
        <a:blip xmlns:r="http://schemas.openxmlformats.org/officeDocument/2006/relationships" r:embed="rId1"/>
        <a:stretch>
          <a:fillRect/>
        </a:stretch>
      </xdr:blipFill>
      <xdr:spPr>
        <a:xfrm>
          <a:off x="8115300" y="127000"/>
          <a:ext cx="419100" cy="419100"/>
        </a:xfrm>
        <a:prstGeom prst="rect">
          <a:avLst/>
        </a:prstGeom>
        <a:solidFill>
          <a:srgbClr val="FFFFFF">
            <a:shade val="85000"/>
          </a:srgbClr>
        </a:solidFill>
        <a:ln w="28575"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11</xdr:col>
      <xdr:colOff>50598</xdr:colOff>
      <xdr:row>1</xdr:row>
      <xdr:rowOff>302364</xdr:rowOff>
    </xdr:from>
    <xdr:to>
      <xdr:col>12</xdr:col>
      <xdr:colOff>787400</xdr:colOff>
      <xdr:row>3</xdr:row>
      <xdr:rowOff>139700</xdr:rowOff>
    </xdr:to>
    <xdr:pic>
      <xdr:nvPicPr>
        <xdr:cNvPr id="6" name="Picture 5">
          <a:extLst>
            <a:ext uri="{FF2B5EF4-FFF2-40B4-BE49-F238E27FC236}">
              <a16:creationId xmlns:a16="http://schemas.microsoft.com/office/drawing/2014/main" id="{346E7BD4-F16C-8B68-BBD2-34C3836AD681}"/>
            </a:ext>
          </a:extLst>
        </xdr:cNvPr>
        <xdr:cNvPicPr>
          <a:picLocks noChangeAspect="1"/>
        </xdr:cNvPicPr>
      </xdr:nvPicPr>
      <xdr:blipFill>
        <a:blip xmlns:r="http://schemas.openxmlformats.org/officeDocument/2006/relationships" r:embed="rId2"/>
        <a:stretch>
          <a:fillRect/>
        </a:stretch>
      </xdr:blipFill>
      <xdr:spPr>
        <a:xfrm>
          <a:off x="14452398" y="607164"/>
          <a:ext cx="2400502" cy="421536"/>
        </a:xfrm>
        <a:prstGeom prst="rect">
          <a:avLst/>
        </a:prstGeom>
        <a:effectLst>
          <a:outerShdw blurRad="50800" dist="38100" dir="2700000" algn="tl"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absoluteAnchor>
    <xdr:pos x="0" y="0"/>
    <xdr:ext cx="8673245" cy="6291995"/>
    <xdr:graphicFrame macro="">
      <xdr:nvGraphicFramePr>
        <xdr:cNvPr id="2" name="Chart 1">
          <a:extLst>
            <a:ext uri="{FF2B5EF4-FFF2-40B4-BE49-F238E27FC236}">
              <a16:creationId xmlns:a16="http://schemas.microsoft.com/office/drawing/2014/main" id="{FF148028-9F54-C32B-AC71-9D01E255A7D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ivotCache/_rels/pivotCacheDefinition1.xml.rels><?xml version="1.0" encoding="UTF-8" standalone="yes"?>
<Relationships xmlns="http://schemas.openxmlformats.org/package/2006/relationships"><Relationship Id="rId1" Type="http://schemas.openxmlformats.org/officeDocument/2006/relationships/richPivotRecords" Target="richPivot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Mike Hole D" refreshedDate="45842.804568287036" createdVersion="8" refreshedVersion="8" minRefreshableVersion="3" recordCount="27" xr:uid="{924D4304-3553-624B-8576-3647CC2FA27C}">
  <cacheSource type="worksheet">
    <worksheetSource name="Portfolio"/>
  </cacheSource>
  <cacheFields count="10">
    <cacheField name="Column1" numFmtId="0">
      <sharedItems/>
    </cacheField>
    <cacheField name="Column2" numFmtId="0">
      <sharedItems count="27">
        <s v="Company Name"/>
        <s v="Alphabet Class C"/>
        <s v="Amazon"/>
        <s v="Apple"/>
        <s v="BigBear.ai"/>
        <s v="Chevron"/>
        <s v="Coca-Cola Consolidated"/>
        <s v="Ellington Financial"/>
        <s v="Enterprise Products"/>
        <s v="Intel"/>
        <s v="Gold Trust"/>
        <s v="J.P. Morgan"/>
        <s v="Main Street Capital "/>
        <s v="McDonald's"/>
        <s v="Microsoft"/>
        <s v="NVIDIA"/>
        <s v="Philip Morris"/>
        <s v="Reality Income"/>
        <s v="Roundhill Innovation"/>
        <s v="SoFi Technologies"/>
        <s v="Sony"/>
        <s v="Coca-Cola"/>
        <s v="Procter &amp; Gamble "/>
        <s v="Schwab US Dividend Equity"/>
        <s v="S&amp;P 500"/>
        <s v="Emerging Markets Fund"/>
        <s v="Russell 2000"/>
      </sharedItems>
    </cacheField>
    <cacheField name="Column3" numFmtId="0">
      <sharedItems containsMixedTypes="1" containsNumber="1" minValue="3.3716000000000003E-2" maxValue="85.029884999999993"/>
    </cacheField>
    <cacheField name="Column4" numFmtId="0">
      <sharedItems containsMixedTypes="1" containsNumber="1" minValue="8.08" maxValue="522.29999999999995"/>
    </cacheField>
    <cacheField name="Column5" numFmtId="0">
      <sharedItems containsMixedTypes="1" containsNumber="1" minValue="7.75" maxValue="575.22"/>
    </cacheField>
    <cacheField name="Column6" numFmtId="0">
      <sharedItems containsMixedTypes="1" containsNumber="1" minValue="5.1700114400000006" maxValue="2529.7339349999997"/>
    </cacheField>
    <cacheField name="Column7" numFmtId="0">
      <sharedItems containsMixedTypes="1" containsNumber="1" minValue="5.0024429200000009" maxValue="2786.049309"/>
    </cacheField>
    <cacheField name="Column8" numFmtId="0">
      <sharedItems containsMixedTypes="1" containsNumber="1" minValue="-6.6641797000000196" maxValue="256.31537400000025"/>
    </cacheField>
    <cacheField name="Column9" numFmtId="0">
      <sharedItems containsDate="1" containsMixedTypes="1" minDate="2024-02-07T00:00:00" maxDate="2025-06-07T00:00:00"/>
    </cacheField>
    <cacheField name="Column10" numFmtId="0">
      <sharedItems/>
    </cacheField>
  </cacheFields>
  <extLst>
    <ext xmlns:x14="http://schemas.microsoft.com/office/spreadsheetml/2009/9/main" uri="{725AE2AE-9491-48be-B2B4-4EB974FC3084}">
      <x14:pivotCacheDefinition/>
    </ext>
    <ext xmlns:xxpvi="http://schemas.microsoft.com/office/spreadsheetml/2022/pivotVersionInfo" uri="{9F748A41-CAEA-4470-BF7A-CE61E8FFA7F9}">
      <xxpvi:cacheVersionInfo>
        <xxpvi:lastRefreshFeature>RichData</xxpvi:lastRefreshFeature>
      </xxpvi:cacheVersionInfo>
    </ext>
    <ext xmlns:xprd="http://schemas.microsoft.com/office/spreadsheetml/2022/pivotRichData" uri="{2C874A73-7782-4A18-856F-96AC7E287872}">
      <xprd:richInfo pivotCacheGuid="{924D4304-3553-624B-8576-3647CC2FA27C}" pivotIgnoreInvalidCache="1" r:id="rId1"/>
    </ext>
  </extLst>
</pivotCacheDefinition>
</file>

<file path=xl/pivotCache/richPivot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s v="Ticker Symbol"/>
    <x v="0"/>
    <s v="Shares"/>
    <s v="Purchase Price"/>
    <s v="Current Price"/>
    <s v="Total Cost"/>
    <s v="Current Value"/>
    <s v="Gain/Loss"/>
    <s v="Purchase Date"/>
    <s v="Type"/>
  </r>
  <r>
    <s v="ALPHABET INC. (XNAS:GOOG)"/>
    <x v="1"/>
    <n v="0.82499999999999996"/>
    <n v="181.77"/>
    <n v="180.55"/>
    <n v="149.96025"/>
    <n v="148.95375000000001"/>
    <n v="-1.0064999999999884"/>
    <d v="2025-01-16T00:00:00"/>
    <s v="Stock"/>
  </r>
  <r>
    <s v="AMAZON.COM, INC. (XNAS:AMZN)"/>
    <x v="2"/>
    <n v="0.5"/>
    <n v="167.52"/>
    <n v="223.41"/>
    <n v="83.76"/>
    <n v="111.705"/>
    <n v="27.944999999999993"/>
    <d v="2024-08-09T00:00:00"/>
    <s v="Stock"/>
  </r>
  <r>
    <s v="APPLE INC. (XNAS:AAPL)"/>
    <x v="3"/>
    <n v="4.4046000000000002E-2"/>
    <n v="229.53"/>
    <n v="213.55"/>
    <n v="10.10987838"/>
    <n v="9.4060233000000011"/>
    <n v="-0.70385507999999852"/>
    <d v="2024-07-13T00:00:00"/>
    <s v="Stock"/>
  </r>
  <r>
    <s v="BigBear.ai Holdings, Inc. (XNYS:BBAI)"/>
    <x v="4"/>
    <n v="3"/>
    <n v="8.08"/>
    <n v="7.75"/>
    <n v="24.240000000000002"/>
    <n v="23.25"/>
    <n v="-0.99000000000000199"/>
    <d v="2024-02-07T00:00:00"/>
    <s v="Stock"/>
  </r>
  <r>
    <s v="CHEVRON CORPORATION (XNYS:CVX)"/>
    <x v="5"/>
    <n v="3.3716000000000003E-2"/>
    <n v="153.34"/>
    <n v="148.37"/>
    <n v="5.1700114400000006"/>
    <n v="5.0024429200000009"/>
    <n v="-0.16756851999999967"/>
    <d v="2024-12-10T00:00:00"/>
    <s v="Stock"/>
  </r>
  <r>
    <s v="COCA-COLA CONSOLIDATED, INC. (XNAS:COKE)"/>
    <x v="6"/>
    <n v="9.2789999999999997E-2"/>
    <n v="107.77"/>
    <n v="117.71"/>
    <n v="9.9999782999999987"/>
    <n v="10.922310899999999"/>
    <n v="0.92233260000000072"/>
    <d v="2024-07-06T00:00:00"/>
    <s v="Stock"/>
  </r>
  <r>
    <s v="Ellington Financial Inc. (XNYS:EFC)"/>
    <x v="7"/>
    <n v="2.19"/>
    <n v="12.13"/>
    <n v="13.16"/>
    <n v="26.564700000000002"/>
    <n v="28.820399999999999"/>
    <n v="2.2556999999999974"/>
    <d v="2024-07-07T00:00:00"/>
    <s v="Stock"/>
  </r>
  <r>
    <s v="ENTERPRISE PRODUCTS PARTNERS UNT (XNYS:EPD)"/>
    <x v="8"/>
    <n v="4.4457310000000003"/>
    <n v="29.43"/>
    <n v="31.51"/>
    <n v="130.83786333"/>
    <n v="140.08498381000001"/>
    <n v="9.2471204800000066"/>
    <d v="2024-07-10T00:00:00"/>
    <s v="Stock"/>
  </r>
  <r>
    <s v="INTEL CORPORATION (XNAS:INTC)"/>
    <x v="9"/>
    <n v="4"/>
    <n v="20.82"/>
    <n v="22.49"/>
    <n v="83.28"/>
    <n v="89.96"/>
    <n v="6.6799999999999926"/>
    <d v="2024-08-05T00:00:00"/>
    <s v="Stock"/>
  </r>
  <r>
    <s v="iShares Gold Trust Micro (ARCX:IAUM)"/>
    <x v="10"/>
    <n v="2"/>
    <n v="24.19"/>
    <n v="33.24"/>
    <n v="48.38"/>
    <n v="66.48"/>
    <n v="18.100000000000001"/>
    <d v="2024-07-15T00:00:00"/>
    <s v="Stock"/>
  </r>
  <r>
    <s v="JPMorgan:Nsdq Eq Prm Inc (XNAS:JEPQ)"/>
    <x v="11"/>
    <n v="1"/>
    <n v="55.01"/>
    <n v="54.16"/>
    <n v="55.01"/>
    <n v="54.16"/>
    <n v="-0.85000000000000142"/>
    <d v="2024-07-22T00:00:00"/>
    <s v="Stock"/>
  </r>
  <r>
    <s v="MAIN STREET CAPITAL CORPORATION (XNYS:MAIN)"/>
    <x v="12"/>
    <n v="1"/>
    <n v="52.04"/>
    <n v="61.13"/>
    <n v="52.04"/>
    <n v="61.13"/>
    <n v="9.0900000000000034"/>
    <d v="2024-07-08T00:00:00"/>
    <s v="Stock"/>
  </r>
  <r>
    <s v="MCDONALD'S CORPORATION (XNYS:MCD)"/>
    <x v="13"/>
    <n v="0.1"/>
    <n v="251.73"/>
    <n v="294.08"/>
    <n v="25.173000000000002"/>
    <n v="29.408000000000001"/>
    <n v="4.2349999999999994"/>
    <d v="2024-07-06T00:00:00"/>
    <s v="Stock"/>
  </r>
  <r>
    <s v="MICROSOFT CORPORATION (XNAS:MSFT)"/>
    <x v="14"/>
    <n v="0.3"/>
    <n v="459.52"/>
    <n v="498.84"/>
    <n v="137.85599999999999"/>
    <n v="149.65199999999999"/>
    <n v="11.795999999999992"/>
    <d v="2024-07-08T00:00:00"/>
    <s v="Stock"/>
  </r>
  <r>
    <s v="NVIDIA CORPORATION (XNAS:NVDA)"/>
    <x v="15"/>
    <n v="4.069"/>
    <n v="117.33"/>
    <n v="159.34"/>
    <n v="477.41577000000001"/>
    <n v="648.35446000000002"/>
    <n v="170.93869000000001"/>
    <d v="2024-08-10T00:00:00"/>
    <s v="Stock"/>
  </r>
  <r>
    <s v="Philip Morris International Inc. (XNYS:PM)"/>
    <x v="16"/>
    <n v="1.0087729999999999"/>
    <n v="149.84"/>
    <n v="178.88"/>
    <n v="151.15454631999998"/>
    <n v="180.44931423999998"/>
    <n v="29.294767919999998"/>
    <d v="2025-03-04T00:00:00"/>
    <s v="Stock"/>
  </r>
  <r>
    <s v="REALTY INCOME CORPORATION (XNYS:O)"/>
    <x v="17"/>
    <n v="1.41316"/>
    <n v="59.63"/>
    <n v="57.68"/>
    <n v="84.266730800000005"/>
    <n v="81.511068800000004"/>
    <n v="-2.7556620000000009"/>
    <d v="2024-07-09T00:00:00"/>
    <s v="Stock"/>
  </r>
  <r>
    <s v="Roundhill I-100 0DTE CCS (BATS:QDTE)"/>
    <x v="18"/>
    <n v="2.297993"/>
    <n v="38.340000000000003"/>
    <n v="35.44"/>
    <n v="88.105051620000012"/>
    <n v="81.440871919999992"/>
    <n v="-6.6641797000000196"/>
    <d v="2025-02-03T00:00:00"/>
    <s v="Stock"/>
  </r>
  <r>
    <s v="SOFI TECHNOLOGIES, INC. (XNAS:SOFI)"/>
    <x v="19"/>
    <n v="4.0073980000000002"/>
    <n v="14.97"/>
    <n v="18.57"/>
    <n v="59.990748060000008"/>
    <n v="74.417380860000009"/>
    <n v="14.4266328"/>
    <d v="2025-06-06T00:00:00"/>
    <s v="Stock"/>
  </r>
  <r>
    <s v="Sony Group Corporation (OTCM:SNEJF)"/>
    <x v="20"/>
    <n v="5"/>
    <n v="19.16"/>
    <n v="25.234000000000002"/>
    <n v="95.8"/>
    <n v="126.17000000000002"/>
    <n v="30.370000000000019"/>
    <d v="2024-10-08T00:00:00"/>
    <s v="Stock"/>
  </r>
  <r>
    <s v="THE COCA-COLA COMPANY (XNYS:KO)"/>
    <x v="21"/>
    <n v="1.06"/>
    <n v="63.72"/>
    <n v="71.349999999999994"/>
    <n v="67.543199999999999"/>
    <n v="75.631"/>
    <n v="8.0878000000000014"/>
    <d v="2024-11-22T00:00:00"/>
    <s v="Stock"/>
  </r>
  <r>
    <s v="THE PROCTER &amp; GAMBLE COMPANY (XNYS:PG)"/>
    <x v="22"/>
    <n v="0.11346000000000001"/>
    <n v="176.27"/>
    <n v="160.83000000000001"/>
    <n v="19.999594200000001"/>
    <n v="18.247771800000002"/>
    <n v="-1.7518223999999982"/>
    <d v="2024-12-12T00:00:00"/>
    <s v="Stock"/>
  </r>
  <r>
    <s v="Schwab Str:US Div Eq ETF (ARCX:SCHD)"/>
    <x v="23"/>
    <n v="85.029884999999993"/>
    <n v="27.22"/>
    <n v="27.35"/>
    <n v="2314.5134696999999"/>
    <n v="2325.56735475"/>
    <n v="11.05388505000019"/>
    <d v="2024-07-20T00:00:00"/>
    <s v="ETF"/>
  </r>
  <r>
    <s v="Vanguard 500 Idx;ETF (ARCX:VOO)"/>
    <x v="24"/>
    <n v="4.8434499999999998"/>
    <n v="522.29999999999995"/>
    <n v="575.22"/>
    <n v="2529.7339349999997"/>
    <n v="2786.049309"/>
    <n v="256.31537400000025"/>
    <d v="2024-07-10T00:00:00"/>
    <s v="ETF"/>
  </r>
  <r>
    <s v="Vanguard EM St I;ETF (ARCX:VWO)"/>
    <x v="25"/>
    <n v="1.02789"/>
    <n v="45.4"/>
    <n v="50.02"/>
    <n v="46.666205999999995"/>
    <n v="51.4150578"/>
    <n v="4.7488518000000042"/>
    <d v="2024-11-04T00:00:00"/>
    <s v="ETF"/>
  </r>
  <r>
    <s v="Vanguard Rus 2000 Id;ETF (XNAS:VTWO)"/>
    <x v="26"/>
    <n v="0.111"/>
    <n v="90.29"/>
    <n v="90.18"/>
    <n v="10.02219"/>
    <n v="10.009980000000001"/>
    <n v="-1.220999999999961E-2"/>
    <d v="2024-11-04T00:00:00"/>
    <s v="ETF"/>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691DE1-5341-344A-989B-F53DD0F1EAD4}" name="Gain/Loss Table" cacheId="116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mpany Name">
  <location ref="A1:B29" firstHeaderRow="1" firstDataRow="1" firstDataCol="1"/>
  <pivotFields count="10">
    <pivotField showAll="0"/>
    <pivotField axis="axisRow" showAll="0" sortType="descending">
      <items count="28">
        <item x="1"/>
        <item x="2"/>
        <item x="3"/>
        <item x="4"/>
        <item x="5"/>
        <item x="21"/>
        <item x="6"/>
        <item x="0"/>
        <item x="7"/>
        <item x="25"/>
        <item x="8"/>
        <item x="10"/>
        <item x="9"/>
        <item x="11"/>
        <item x="12"/>
        <item x="13"/>
        <item x="14"/>
        <item x="15"/>
        <item x="16"/>
        <item x="22"/>
        <item x="17"/>
        <item x="18"/>
        <item x="26"/>
        <item x="24"/>
        <item x="23"/>
        <item x="19"/>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s>
  <rowFields count="1">
    <field x="1"/>
  </rowFields>
  <rowItems count="28">
    <i>
      <x v="23"/>
    </i>
    <i>
      <x v="17"/>
    </i>
    <i>
      <x v="26"/>
    </i>
    <i>
      <x v="18"/>
    </i>
    <i>
      <x v="1"/>
    </i>
    <i>
      <x v="11"/>
    </i>
    <i>
      <x v="25"/>
    </i>
    <i>
      <x v="16"/>
    </i>
    <i>
      <x v="24"/>
    </i>
    <i>
      <x v="10"/>
    </i>
    <i>
      <x v="14"/>
    </i>
    <i>
      <x v="5"/>
    </i>
    <i>
      <x v="12"/>
    </i>
    <i>
      <x v="9"/>
    </i>
    <i>
      <x v="15"/>
    </i>
    <i>
      <x v="8"/>
    </i>
    <i>
      <x v="6"/>
    </i>
    <i>
      <x v="7"/>
    </i>
    <i>
      <x v="22"/>
    </i>
    <i>
      <x v="4"/>
    </i>
    <i>
      <x v="2"/>
    </i>
    <i>
      <x v="13"/>
    </i>
    <i>
      <x v="3"/>
    </i>
    <i>
      <x/>
    </i>
    <i>
      <x v="19"/>
    </i>
    <i>
      <x v="20"/>
    </i>
    <i>
      <x v="21"/>
    </i>
    <i t="grand">
      <x/>
    </i>
  </rowItems>
  <colItems count="1">
    <i/>
  </colItems>
  <dataFields count="1">
    <dataField name="Gain/Loss" fld="7" baseField="0" baseItem="0" numFmtId="164"/>
  </dataFields>
  <formats count="2">
    <format dxfId="13">
      <pivotArea field="1" type="button" dataOnly="0" labelOnly="1" outline="0" axis="axisRow"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1">
  <a r="28">
    <v t="e">#NULL!</v>
    <v t="r">88</v>
    <v t="r">90</v>
    <v t="r">92</v>
    <v t="r">94</v>
    <v t="r">96</v>
    <v t="r">98</v>
    <v t="r">100</v>
    <v t="r">102</v>
    <v t="r">104</v>
    <v t="r">106</v>
    <v t="r">108</v>
    <v t="r">110</v>
    <v t="r">112</v>
    <v t="r">114</v>
    <v t="r">116</v>
    <v t="r">118</v>
    <v t="r">120</v>
    <v t="r">122</v>
    <v t="r">124</v>
    <v t="r">126</v>
    <v t="r">128</v>
    <v t="r">130</v>
    <v t="r">132</v>
    <v t="r">134</v>
    <v t="r">136</v>
    <v t="r">138</v>
    <v t="i">2</v>
  </a>
</arrayData>
</file>

<file path=xl/richData/rdrichvalue.xml><?xml version="1.0" encoding="utf-8"?>
<rvData xmlns="http://schemas.microsoft.com/office/spreadsheetml/2017/richdata" count="141">
  <rv s="0">
    <v>https://www.bing.com/financeapi/forcetrigger?t=a1u3p2&amp;q=XNAS%3aGOOG&amp;form=skydnc</v>
    <v>Learn more on Bing</v>
  </rv>
  <rv s="1">
    <v>en-US</v>
    <v>a1u3p2</v>
    <v>268435456</v>
    <v>1</v>
    <v>Powered by Refinitiv</v>
    <v>0</v>
    <v>ALPHABET INC. (XNAS:GOOG)</v>
    <v>2</v>
    <v>3</v>
    <v>Finance</v>
    <v>4</v>
    <v>341.2</v>
    <v>142.66</v>
    <v>1.0955999999999999</v>
    <v>-2.82</v>
    <v>-1.3930000000000001E-3</v>
    <v>-8.464000000000001E-3</v>
    <v>-0.46</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190167</v>
    <v>Nasdaq Stock Market</v>
    <v>XNAS</v>
    <v>XNAS</v>
    <v>1600 Amphitheatre Parkway, MOUNTAIN VIEW, CA, 94043 US</v>
    <v>335.23989999999998</v>
    <v>Software &amp; IT Services</v>
    <v>Stock</v>
    <v>46039.041591747657</v>
    <v>0</v>
    <v>328.17</v>
    <v>3986212779999</v>
    <v>ALPHABET INC.</v>
    <v>ALPHABET INC.</v>
    <v>334.935</v>
    <v>32.620399999999997</v>
    <v>333.16</v>
    <v>330.34</v>
    <v>329.88</v>
    <v>12067000000</v>
    <v>GOOG</v>
    <v>ALPHABET INC. (XNAS:GOOG)</v>
    <v>21868624</v>
    <v>19675832</v>
    <v>2015</v>
  </rv>
  <rv s="2">
    <v>1</v>
  </rv>
  <rv s="0">
    <v>https://www.bing.com/financeapi/forcetrigger?t=a1nhlh&amp;q=XNAS%3aAMZN&amp;form=skydnc</v>
    <v>Learn more on Bing</v>
  </rv>
  <rv s="1">
    <v>en-US</v>
    <v>a1nhlh</v>
    <v>268435456</v>
    <v>1</v>
    <v>Powered by Refinitiv</v>
    <v>0</v>
    <v>AMAZON.COM, INC. (XNAS:AMZN)</v>
    <v>2</v>
    <v>3</v>
    <v>Finance</v>
    <v>4</v>
    <v>258.60000000000002</v>
    <v>161.38</v>
    <v>1.377</v>
    <v>0.94</v>
    <v>-2.1749999999999999E-3</v>
    <v>3.947E-3</v>
    <v>-0.52</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1578000</v>
    <v>Nasdaq Stock Market</v>
    <v>XNAS</v>
    <v>XNAS</v>
    <v>410 Terry Avenue North, SEATTLE, WA, 98109 US</v>
    <v>239.57</v>
    <v>Diversified Retail</v>
    <v>Stock</v>
    <v>46039.04144482578</v>
    <v>3</v>
    <v>236.41</v>
    <v>2556245406400</v>
    <v>AMAZON.COM, INC.</v>
    <v>AMAZON.COM, INC.</v>
    <v>239.08500000000001</v>
    <v>33.778799999999997</v>
    <v>238.18</v>
    <v>239.12</v>
    <v>238.6</v>
    <v>10690220000</v>
    <v>AMZN</v>
    <v>AMAZON.COM, INC. (XNAS:AMZN)</v>
    <v>45888223</v>
    <v>38161153</v>
    <v>1996</v>
  </rv>
  <rv s="2">
    <v>4</v>
  </rv>
  <rv s="0">
    <v>https://www.bing.com/financeapi/forcetrigger?t=a1mou2&amp;q=XNAS%3aAAPL&amp;form=skydnc</v>
    <v>Learn more on Bing</v>
  </rv>
  <rv s="1">
    <v>en-US</v>
    <v>a1mou2</v>
    <v>268435456</v>
    <v>1</v>
    <v>Powered by Refinitiv</v>
    <v>0</v>
    <v>APPLE INC. (XNAS:AAPL)</v>
    <v>2</v>
    <v>3</v>
    <v>Finance</v>
    <v>4</v>
    <v>288.62</v>
    <v>169.21010000000001</v>
    <v>1.0922000000000001</v>
    <v>-2.6930000000000001</v>
    <v>-1.096E-3</v>
    <v>-1.0428999999999999E-2</v>
    <v>-0.28000000000000003</v>
    <v>USD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and Apple Vision Pro.</v>
    <v>166000</v>
    <v>Nasdaq Stock Market</v>
    <v>XNAS</v>
    <v>XNAS</v>
    <v>One Apple Park Way, CUPERTINO, CA, 95014 US</v>
    <v>258.89999999999998</v>
    <v>Computers, Phones &amp; Household Electronics</v>
    <v>Stock</v>
    <v>46039.041603575781</v>
    <v>6</v>
    <v>254.93</v>
    <v>3755570979810</v>
    <v>APPLE INC.</v>
    <v>APPLE INC.</v>
    <v>257.89999999999998</v>
    <v>34.4056</v>
    <v>258.20999999999998</v>
    <v>255.517</v>
    <v>255.25</v>
    <v>14697930000</v>
    <v>AAPL</v>
    <v>APPLE INC. (XNAS:AAPL)</v>
    <v>72142773</v>
    <v>42561565</v>
    <v>1977</v>
  </rv>
  <rv s="2">
    <v>7</v>
  </rv>
  <rv s="0">
    <v>https://www.bing.com/financeapi/forcetrigger?t=c4efww&amp;q=XNYS%3aBBAI&amp;form=skydnc</v>
    <v>Learn more on Bing</v>
  </rv>
  <rv s="1">
    <v>en-US</v>
    <v>c4efww</v>
    <v>268435456</v>
    <v>1</v>
    <v>Powered by Refinitiv</v>
    <v>0</v>
    <v>BigBear.ai Holdings, Inc. (XNYS:BBAI)</v>
    <v>2</v>
    <v>3</v>
    <v>Finance</v>
    <v>4</v>
    <v>10.36</v>
    <v>2.36</v>
    <v>3.2176</v>
    <v>-0.05</v>
    <v>1.6339999999999998E-3</v>
    <v>-8.1040000000000001E-3</v>
    <v>0.01</v>
    <v>USD</v>
    <v>BigBear.ai Holdings, Inc. is a provider of artificial intelligence (AI)-powered decision intelligence solutions for national security, supply chain management and digital identity. The Company is a technology-led solutions organization, providing both software and services to its customers. It combines subject-matter expertise with technology to connect the enterprise, provide insights on process performance and recommendations for managing risk. It offers computer vision, anomaly/event detection, and descriptive and predictive analytics to support operations and break down silos between vendors and systems. The Company’s customers span the public and private sector, including the United States defense and intelligence agencies, border protection, transportation security, manufacturing, distribution and logistics, as well as travel, entertainment and tourism. It also offers software assets that are tailored for digital identity and biometrics, leveraging advanced vision AI technology.</v>
    <v>630</v>
    <v>New York Stock Exchange</v>
    <v>XNYS</v>
    <v>XNYS</v>
    <v>7950 Jones Branch Drive, MCLEAN, VA, 22102 US</v>
    <v>6.36</v>
    <v>Software &amp; IT Services</v>
    <v>Stock</v>
    <v>46039.041646400001</v>
    <v>9</v>
    <v>6.04</v>
    <v>2671693344</v>
    <v>BigBear.ai Holdings, Inc.</v>
    <v>BigBear.ai Holdings, Inc.</v>
    <v>6.2</v>
    <v>0</v>
    <v>6.17</v>
    <v>6.12</v>
    <v>6.13</v>
    <v>436551200</v>
    <v>BBAI</v>
    <v>BigBear.ai Holdings, Inc. (XNYS:BBAI)</v>
    <v>91828430</v>
    <v>89421357</v>
    <v>2020</v>
  </rv>
  <rv s="2">
    <v>10</v>
  </rv>
  <rv s="0">
    <v>https://www.bing.com/financeapi/forcetrigger?t=a1qlz2&amp;q=XNYS%3aCVX&amp;form=skydnc</v>
    <v>Learn more on Bing</v>
  </rv>
  <rv s="1">
    <v>en-US</v>
    <v>a1qlz2</v>
    <v>268435456</v>
    <v>1</v>
    <v>Powered by Refinitiv</v>
    <v>0</v>
    <v>CHEVRON CORPORATION (XNYS:CVX)</v>
    <v>2</v>
    <v>3</v>
    <v>Finance</v>
    <v>4</v>
    <v>169.37</v>
    <v>132.04</v>
    <v>0.69130000000000003</v>
    <v>0.13</v>
    <v>1.2099999999999999E-3</v>
    <v>7.8240000000000004E-4</v>
    <v>0.2011</v>
    <v>USD</v>
    <v>Chevron Corporation is an integrated energy company. The Company produces crude oil and natural gas; manufactures transportation fuels, lubricants, petrochemicals and additives; and develops technologies that enhance its business and industry. The Company’s segments include Upstream and Downstream. Upstream operations consist primarily of exploring for, developing, producing and transporting crude oil and natural gas; liquefaction, transportation and regasification associated with LNG; transporting crude oil by major international oil export pipelines; processing, transporting, storage and marketing of natural gas; carbon capture and storage; and a gas-to-liquids plant. Downstream operations consist primarily of the refining of crude oil into petroleum products; marketing crude oil, refined products, and lubricants; manufacturing and marketing of renewable fuels, and transporting of crude oil and refined products by pipeline, marine vessel, motor equipment and rail car.</v>
    <v>45298</v>
    <v>New York Stock Exchange</v>
    <v>XNYS</v>
    <v>XNYS</v>
    <v>1400 SMITH STREET, HOUSTON, TX, 77002 US</v>
    <v>167.29</v>
    <v>Oil &amp; Gas</v>
    <v>Stock</v>
    <v>46039.040530810154</v>
    <v>12</v>
    <v>165.81</v>
    <v>334828573380</v>
    <v>CHEVRON CORPORATION</v>
    <v>CHEVRON CORPORATION</v>
    <v>166.59</v>
    <v>23.481000000000002</v>
    <v>166.16</v>
    <v>166.29</v>
    <v>166.46109999999999</v>
    <v>2013522000</v>
    <v>CVX</v>
    <v>CHEVRON CORPORATION (XNYS:CVX)</v>
    <v>9745750</v>
    <v>10555556</v>
    <v>1926</v>
  </rv>
  <rv s="2">
    <v>13</v>
  </rv>
  <rv s="0">
    <v>https://www.bing.com/financeapi/forcetrigger?t=a1q4im&amp;q=XNAS%3aCOKE&amp;form=skydnc</v>
    <v>Learn more on Bing</v>
  </rv>
  <rv s="1">
    <v>en-US</v>
    <v>a1q4im</v>
    <v>268435456</v>
    <v>1</v>
    <v>Powered by Refinitiv</v>
    <v>0</v>
    <v>COCA-COLA CONSOLIDATED, INC. (XNAS:COKE)</v>
    <v>2</v>
    <v>3</v>
    <v>Finance</v>
    <v>5</v>
    <v>169.49</v>
    <v>105.21</v>
    <v>0.63839999999999997</v>
    <v>0.63</v>
    <v>-1.9800000000000002E-4</v>
    <v>4.176E-3</v>
    <v>-0.03</v>
    <v>USD</v>
    <v>Coca-Cola Consolidated, Inc. distributes, markets and manufactures nonalcoholic beverages, primarily products of The Coca-Cola Company. The Company also distributes products to several other beverage companies, including Keurig Dr Pepper Inc. and Monster Energy Company. The Company offers a range of nonalcoholic beverage products and flavors, including both sparkling and still beverages. Sparkling beverages are carbonated beverages, and the Company's principal sparkling beverage is Coca-Cola. Its still beverages include energy products and noncarbonated beverages such as bottled water, ready to drink tea, ready to drink coffee, enhanced water, juices and sports drinks. Its products are sold and distributed in the United States through various channels, which include selling directly to customers, including grocery stores, mass merchandise stores, club stores, convenience stores and drug stores, and selling to on-premise locations, where products are typically consumed immediately.</v>
    <v>15000</v>
    <v>Nasdaq Stock Market</v>
    <v>XNAS</v>
    <v>XNAS</v>
    <v>4100 COCA COLA PLZ, CHARLOTTE, NC, 28211 US</v>
    <v>151.87</v>
    <v>Beverages</v>
    <v>Stock</v>
    <v>46039.03421946719</v>
    <v>15</v>
    <v>147.28</v>
    <v>10090685690</v>
    <v>COCA-COLA CONSOLIDATED, INC.</v>
    <v>COCA-COLA CONSOLIDATED, INC.</v>
    <v>149.35</v>
    <v>21.538499999999999</v>
    <v>150.85</v>
    <v>151.47999999999999</v>
    <v>151.44999999999999</v>
    <v>66613980</v>
    <v>COKE</v>
    <v>COCA-COLA CONSOLIDATED, INC. (XNAS:COKE)</v>
    <v>445902</v>
    <v>571308</v>
    <v>1980</v>
  </rv>
  <rv s="2">
    <v>16</v>
  </rv>
  <rv s="0">
    <v>https://www.bing.com/financeapi/forcetrigger?t=a1rqc7&amp;q=XNYS%3aEFC&amp;form=skydnc</v>
    <v>Learn more on Bing</v>
  </rv>
  <rv s="1">
    <v>en-US</v>
    <v>a1rqc7</v>
    <v>268435456</v>
    <v>1</v>
    <v>Powered by Refinitiv</v>
    <v>0</v>
    <v>Ellington Financial Inc. (XNYS:EFC)</v>
    <v>2</v>
    <v>3</v>
    <v>Finance</v>
    <v>4</v>
    <v>14.4</v>
    <v>11.12</v>
    <v>0.94640000000000002</v>
    <v>0.16</v>
    <v>-7.1380000000000001E-6</v>
    <v>1.1552E-2</v>
    <v>-1E-4</v>
    <v>USD</v>
    <v>Ellington Financial Inc. is a real estate investment trust. The Company acquires and manages mortgage-related, consumer-related, corporate-related, and other financial assets. The Company’s segments include the Investment Portfolio Segment and the Longbridge Segment. The Investment Portfolio Segment is focused on investing in a diverse array of financial assets, including residential and commercial mortgage loans, residential mortgage-backed securities (RMBS), commercial mortgage-backed securities (CMBS), consumer loans and asset-backed securities (ABS), including ABS-backed by consumer loans, collateralized loan obligations (CLOs), non-mortgage- and mortgage-related derivatives, debt and equity investments in loan origination companies, and other strategic investments. The Longbridge Segment is focused on the origination and servicing of, and investment in, reverse mortgage loans. The Company is externally managed and advised by Ellington Financial Management LLC.</v>
    <v>400</v>
    <v>New York Stock Exchange</v>
    <v>XNYS</v>
    <v>XNYS</v>
    <v>53 Forest Ave, GREENWICH, CT, 06870 US</v>
    <v>14.03</v>
    <v>Residential &amp; Commercial REIT</v>
    <v>Stock</v>
    <v>46039.04072935156</v>
    <v>18</v>
    <v>13.86</v>
    <v>1503502764</v>
    <v>Ellington Financial Inc.</v>
    <v>Ellington Financial Inc.</v>
    <v>13.87</v>
    <v>10.4975</v>
    <v>13.85</v>
    <v>14.01</v>
    <v>14.0099</v>
    <v>107316400</v>
    <v>EFC</v>
    <v>Ellington Financial Inc. (XNYS:EFC)</v>
    <v>1797082</v>
    <v>1740505</v>
    <v>2007</v>
  </rv>
  <rv s="2">
    <v>19</v>
  </rv>
  <rv s="0">
    <v>https://www.bing.com/financeapi/forcetrigger?t=a1s2oc&amp;q=XNYS%3aEPD&amp;form=skydnc</v>
    <v>Learn more on Bing</v>
  </rv>
  <rv s="3">
    <v>en-US</v>
    <v>a1s2oc</v>
    <v>268435456</v>
    <v>1</v>
    <v>Powered by Refinitiv</v>
    <v>6</v>
    <v>ENTERPRISE PRODUCTS PARTNERS UNT (XNYS:EPD)</v>
    <v>7</v>
    <v>8</v>
    <v>Finance</v>
    <v>9</v>
    <v>34.53</v>
    <v>27.77</v>
    <v>0.29499999999999998</v>
    <v>3.8019999999999998E-3</v>
    <v>9.044E-3</v>
    <v>0.12509999999999999</v>
    <v>USD</v>
    <v>New York Stock Exchange</v>
    <v>XNYS</v>
    <v>33.06</v>
    <v>ETF</v>
    <v>46039.037322777345</v>
    <v>21</v>
    <v>32.538400000000003</v>
    <v>ENTERPRISE PRODUCTS PARTNERS UNT</v>
    <v>32.630000000000003</v>
    <v>32.619999999999997</v>
    <v>32.914999999999999</v>
    <v>33.025100000000002</v>
    <v>EPD</v>
    <v>ENTERPRISE PRODUCTS PARTNERS UNT (XNYS:EPD)</v>
    <v>5044376</v>
    <v>3402506</v>
  </rv>
  <rv s="2">
    <v>22</v>
  </rv>
  <rv s="0">
    <v>https://www.bing.com/financeapi/forcetrigger?t=a1vmf2&amp;q=XNAS%3aINTC&amp;form=skydnc</v>
    <v>Learn more on Bing</v>
  </rv>
  <rv s="1">
    <v>en-US</v>
    <v>a1vmf2</v>
    <v>268435456</v>
    <v>1</v>
    <v>Powered by Refinitiv</v>
    <v>0</v>
    <v>INTEL CORPORATION (XNAS:INTC)</v>
    <v>2</v>
    <v>3</v>
    <v>Finance</v>
    <v>4</v>
    <v>50.39</v>
    <v>17.664999999999999</v>
    <v>1.3900999999999999</v>
    <v>-1.3280000000000001</v>
    <v>6.3880000000000002E-4</v>
    <v>-2.7483E-2</v>
    <v>0.03</v>
    <v>USD</v>
    <v>Intel Corporation is a global designer and manufacturer of semiconductor products. The Company operates through three segments: Intel Products, Intel Foundry, and All Other. Its Intel Products segment includes Client Computing Group (CCG), Data Center and AI (DCAI), Network and Edge (NEX). The CCG is bringing together the operating system, system architecture, hardware, and software application integration to enable PC experiences. DCAI delivers workload-optimized solutions to cloud service providers and enterprises, along with silicon devices for communications service providers, network and edge, and HPC customers. NEX helps networks and edge compute systems from fixed-function hardware to general-purpose compute, acceleration, and networking devices running cloud native software on programmable hardware. The Intel Foundry segment comprises technology development, manufacturing and foundry services. All Other segments include Altera, Mobileye, Other.</v>
    <v>108900</v>
    <v>Nasdaq Stock Market</v>
    <v>XNAS</v>
    <v>XNAS</v>
    <v>2200 Mission College Blvd, Rnb-4-151, SANTA CLARA, CA, 95054 US</v>
    <v>50.21</v>
    <v>Semiconductors &amp; Semiconductor Equipment</v>
    <v>Stock</v>
    <v>46039.041663575779</v>
    <v>24</v>
    <v>46.71</v>
    <v>224151840000</v>
    <v>INTEL CORPORATION</v>
    <v>INTEL CORPORATION</v>
    <v>49.27</v>
    <v>4433.2075000000004</v>
    <v>48.32</v>
    <v>46.991999999999997</v>
    <v>46.99</v>
    <v>4770000000</v>
    <v>INTC</v>
    <v>INTEL CORPORATION (XNAS:INTC)</v>
    <v>127314711</v>
    <v>87109364</v>
    <v>1989</v>
  </rv>
  <rv s="2">
    <v>25</v>
  </rv>
  <rv s="0">
    <v>https://www.bing.com/financeapi/forcetrigger?t=c2ldqh&amp;q=ARCX%3aIAUM&amp;form=skydnc</v>
    <v>Learn more on Bing</v>
  </rv>
  <rv s="4">
    <v>en-US</v>
    <v>c2ldqh</v>
    <v>268435456</v>
    <v>1</v>
    <v>Powered by Refinitiv</v>
    <v>10</v>
    <v>iShares Gold Trust Micro (ARCX:IAUM)</v>
    <v>7</v>
    <v>11</v>
    <v>Finance</v>
    <v>9</v>
    <v>46.28</v>
    <v>26.93</v>
    <v>0.80530000000000002</v>
    <v>-0.22500000000000001</v>
    <v>2.189E-3</v>
    <v>-4.9020000000000001E-3</v>
    <v>0.1</v>
    <v>USD</v>
    <v>NYSE Arca</v>
    <v>ARCX</v>
    <v>7.000000000000001E-4</v>
    <v>46.0501</v>
    <v>ETF</v>
    <v>46039.041469918753</v>
    <v>27</v>
    <v>45.23</v>
    <v>6029172795.8400002</v>
    <v>iShares Gold Trust Micro</v>
    <v>45.86</v>
    <v>45.9</v>
    <v>45.674999999999997</v>
    <v>45.78</v>
    <v>IAUM</v>
    <v>iShares Gold Trust Micro (ARCX:IAUM)</v>
    <v>4552325</v>
    <v>2832441</v>
  </rv>
  <rv s="2">
    <v>28</v>
  </rv>
  <rv s="0">
    <v>https://www.bing.com/financeapi/forcetrigger?t=c64l2w&amp;q=XNAS%3aJEPQ&amp;form=skydnc</v>
    <v>Learn more on Bing</v>
  </rv>
  <rv s="4">
    <v>en-US</v>
    <v>c64l2w</v>
    <v>268435456</v>
    <v>1</v>
    <v>Powered by Refinitiv</v>
    <v>10</v>
    <v>JPMorgan:Nsdq Eq Prm Inc (XNAS:JEPQ)</v>
    <v>7</v>
    <v>11</v>
    <v>Finance</v>
    <v>9</v>
    <v>59.424999999999997</v>
    <v>44.311</v>
    <v>0.81799999999999995</v>
    <v>0.03</v>
    <v>1.1509999999999999E-3</v>
    <v>5.0940000000000002E-4</v>
    <v>6.7799999999999999E-2</v>
    <v>USD</v>
    <v>Nasdaq Stock Market</v>
    <v>XNAS</v>
    <v>3.4999999999999996E-3</v>
    <v>59.22</v>
    <v>ETF</v>
    <v>46039.041453599217</v>
    <v>30</v>
    <v>58.774999999999999</v>
    <v>32488318165.68</v>
    <v>JPMorgan:Nsdq Eq Prm Inc</v>
    <v>59.22</v>
    <v>58.89</v>
    <v>58.92</v>
    <v>58.9878</v>
    <v>JEPQ</v>
    <v>JPMorgan:Nsdq Eq Prm Inc (XNAS:JEPQ)</v>
    <v>4676864</v>
    <v>4982278</v>
  </rv>
  <rv s="2">
    <v>31</v>
  </rv>
  <rv s="0">
    <v>https://www.bing.com/financeapi/forcetrigger?t=a1x9sm&amp;q=XNYS%3aMAIN&amp;form=skydnc</v>
    <v>Learn more on Bing</v>
  </rv>
  <rv s="1">
    <v>en-US</v>
    <v>a1x9sm</v>
    <v>268435456</v>
    <v>1</v>
    <v>Powered by Refinitiv</v>
    <v>0</v>
    <v>MAIN STREET CAPITAL CORPORATION (XNYS:MAIN)</v>
    <v>2</v>
    <v>3</v>
    <v>Finance</v>
    <v>5</v>
    <v>67.77</v>
    <v>47</v>
    <v>0.79710000000000003</v>
    <v>-0.24</v>
    <v>5.9409999999999992E-3</v>
    <v>-3.738E-3</v>
    <v>0.38</v>
    <v>USD</v>
    <v>Main Street Capital Corporation is a principal investment company that primarily provides customized long-term debt and equity capital solutions to lower middle market (LMM) companies and debt capital to private companies owned by or in the process of being acquired by a private equity fund. Its portfolio investments are typically made to support management buyouts, recapitalizations, growth financings, refinancings and acquisitions of companies that operate in a variety of industry sectors. The Company invests primarily in secured debt investments, equity investments, warrants and other securities of LMM companies based in the United States and in secured debt investments of private loan companies generally headquartered in the United States. It owns several investment funds, including Main Street Mezzanine Fund, LP and Main Street Capital III, LP, (the Funds), and each of their general partners. MSC Adviser I, LLC, serves as an investment adviser.</v>
    <v>104</v>
    <v>New York Stock Exchange</v>
    <v>XNYS</v>
    <v>XNYS</v>
    <v>1300 Post Oak Blvd, 8th Floor, HOUSTON, TX, 77056 US</v>
    <v>64.38</v>
    <v>Investment Banking &amp; Investment Services</v>
    <v>Stock</v>
    <v>46039.030867048437</v>
    <v>33</v>
    <v>63.5</v>
    <v>5730019058</v>
    <v>MAIN STREET CAPITAL CORPORATION</v>
    <v>MAIN STREET CAPITAL CORPORATION</v>
    <v>64.010000000000005</v>
    <v>10.603999999999999</v>
    <v>64.2</v>
    <v>63.96</v>
    <v>64.34</v>
    <v>89587540</v>
    <v>MAIN</v>
    <v>MAIN STREET CAPITAL CORPORATION (XNYS:MAIN)</v>
    <v>474913</v>
    <v>585687</v>
    <v>2007</v>
  </rv>
  <rv s="2">
    <v>34</v>
  </rv>
  <rv s="0">
    <v>http://en.wikipedia.org/wiki/Public_domain</v>
    <v>Public domain</v>
  </rv>
  <rv s="0">
    <v>http://en.wikipedia.org/wiki/McDonald's</v>
    <v>Wikipedia</v>
  </rv>
  <rv s="5">
    <v>36</v>
    <v>37</v>
  </rv>
  <rv s="6">
    <v>16</v>
    <v>https://www.bing.com/th?id=AMMS_7d8255243964a8970376f8dd41121106&amp;qlt=95</v>
    <v>38</v>
    <v>0</v>
    <v>https://www.bing.com/images/search?form=xlimg&amp;q=mcdonald%27s</v>
    <v>Image of MCDONALD'S CORPORATION</v>
  </rv>
  <rv s="0">
    <v>https://www.bing.com/financeapi/forcetrigger?t=a1xdec&amp;q=XNYS%3aMCD&amp;form=skydnc</v>
    <v>Learn more on Bing</v>
  </rv>
  <rv s="7">
    <v>en-US</v>
    <v>a1xdec</v>
    <v>268435456</v>
    <v>1</v>
    <v>Powered by Refinitiv</v>
    <v>12</v>
    <v>MCDONALD'S CORPORATION (XNYS:MCD)</v>
    <v>14</v>
    <v>15</v>
    <v>Finance</v>
    <v>4</v>
    <v>326.32</v>
    <v>276.52999999999997</v>
    <v>0.52529999999999999</v>
    <v>-1.21</v>
    <v>-3.2890000000000003E-4</v>
    <v>-3.921E-3</v>
    <v>-0.1011</v>
    <v>USD</v>
    <v>McDonald's Corporation is a global foodservice retailer. Its segment includes U.S., International Operated Markets, and International Developmental Licensed Markets &amp; Corporate. The U.S. segment is its largest market and is 95% franchised. The International Operated Markets segment is comprised of markets, or countries in which it operates and franchises restaurants, including Australia, Canada, France, Germany, Italy, Poland, Spain, and the United Kingdom. This segment is 89% franchised. The International Developmental Licensed Markets &amp; Corporate segment is comprised of developmental licensee and affiliate markets, including equity method investments in China and Japan. This segment is 99% franchised. Its menu features hamburgers and cheeseburgers, the Big Mac, the Quarter Pounder with Cheese, the Filet-O-Fish, and several chicken sandwiches, such as the McChicken and McCrispy as well as Chicken McNuggets, Fries, shakes, sundaes, cookies, soft drinks, coffee, and other beverages.</v>
    <v>150000</v>
    <v>New York Stock Exchange</v>
    <v>XNYS</v>
    <v>XNYS</v>
    <v>110 N Carpenter St, CHICAGO, IL, 60607-2104 US</v>
    <v>308.52499999999998</v>
    <v>39</v>
    <v>Hotels &amp; Entertainment Services</v>
    <v>Stock</v>
    <v>46039.039830173439</v>
    <v>40</v>
    <v>305.83999999999997</v>
    <v>218923384104</v>
    <v>MCDONALD'S CORPORATION</v>
    <v>MCDONALD'S CORPORATION</v>
    <v>306.89</v>
    <v>26.2195</v>
    <v>308.62</v>
    <v>307.41000000000003</v>
    <v>307.32889999999998</v>
    <v>712154400</v>
    <v>MCD</v>
    <v>MCDONALD'S CORPORATION (XNYS:MCD)</v>
    <v>2590593</v>
    <v>3236409</v>
    <v>1964</v>
  </rv>
  <rv s="2">
    <v>41</v>
  </rv>
  <rv s="0">
    <v>https://en.wikipedia.org/wiki/Microsoft</v>
    <v>Wikipedia</v>
  </rv>
  <rv s="5">
    <v>36</v>
    <v>43</v>
  </rv>
  <rv s="6">
    <v>16</v>
    <v>https://www.bing.com/th?id=AMMS_e6e837c7bf3a77408619758b7447855a&amp;qlt=95</v>
    <v>44</v>
    <v>0</v>
    <v>https://www.bing.com/images/search?form=xlimg&amp;q=microsoft</v>
    <v>Image of MICROSOFT CORPORATION</v>
  </rv>
  <rv s="0">
    <v>https://www.bing.com/financeapi/forcetrigger?t=a1xzim&amp;q=XNAS%3aMSFT&amp;form=skydnc</v>
    <v>Learn more on Bing</v>
  </rv>
  <rv s="7">
    <v>en-US</v>
    <v>a1xzim</v>
    <v>268435456</v>
    <v>1</v>
    <v>Powered by Refinitiv</v>
    <v>12</v>
    <v>MICROSOFT CORPORATION (XNAS:MSFT)</v>
    <v>14</v>
    <v>15</v>
    <v>Finance</v>
    <v>4</v>
    <v>555.45000000000005</v>
    <v>344.79</v>
    <v>1.0815999999999999</v>
    <v>3.2</v>
    <v>1.4239999999999999E-3</v>
    <v>7.0070000000000002E-3</v>
    <v>0.65500000000000003</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Nasdaq Stock Market</v>
    <v>XNAS</v>
    <v>XNAS</v>
    <v>One Microsoft Way, REDMOND, WA, 98052 US</v>
    <v>463.19</v>
    <v>45</v>
    <v>Software &amp; IT Services</v>
    <v>Stock</v>
    <v>46039.041603078127</v>
    <v>46</v>
    <v>456.48</v>
    <v>3417852887220</v>
    <v>MICROSOFT CORPORATION</v>
    <v>MICROSOFT CORPORATION</v>
    <v>457.83</v>
    <v>32.717700000000001</v>
    <v>456.66</v>
    <v>459.86</v>
    <v>460.51499999999999</v>
    <v>7432377000</v>
    <v>MSFT</v>
    <v>MICROSOFT CORPORATION (XNAS:MSFT)</v>
    <v>34246650</v>
    <v>23055236</v>
    <v>1993</v>
  </rv>
  <rv s="2">
    <v>47</v>
  </rv>
  <rv s="0">
    <v>https://www.bing.com/financeapi/forcetrigger?t=a1yv52&amp;q=XNAS%3aNVDA&amp;form=skydnc</v>
    <v>Learn more on Bing</v>
  </rv>
  <rv s="1">
    <v>en-US</v>
    <v>a1yv52</v>
    <v>268435456</v>
    <v>1</v>
    <v>Powered by Refinitiv</v>
    <v>0</v>
    <v>NVIDIA CORPORATION (XNAS:NVDA)</v>
    <v>2</v>
    <v>3</v>
    <v>Finance</v>
    <v>4</v>
    <v>212.18989999999999</v>
    <v>86.62</v>
    <v>2.3089</v>
    <v>-0.94499999999999995</v>
    <v>1.6109999999999999E-4</v>
    <v>-5.0520000000000001E-3</v>
    <v>0.03</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36000</v>
    <v>Nasdaq Stock Market</v>
    <v>XNAS</v>
    <v>XNAS</v>
    <v>2788 San Tomas Expressway, SANTA CLARA, CA, 95051 US</v>
    <v>190.44</v>
    <v>Semiconductors &amp; Semiconductor Equipment</v>
    <v>Stock</v>
    <v>46039.041656550784</v>
    <v>49</v>
    <v>186.08</v>
    <v>4522351500000</v>
    <v>NVIDIA CORPORATION</v>
    <v>NVIDIA CORPORATION</v>
    <v>189.07499999999999</v>
    <v>46.328699999999998</v>
    <v>187.05</v>
    <v>186.10499999999999</v>
    <v>186.26</v>
    <v>24300000000</v>
    <v>NVDA</v>
    <v>NVIDIA CORPORATION (XNAS:NVDA)</v>
    <v>187967169</v>
    <v>162527659</v>
    <v>1998</v>
  </rv>
  <rv s="2">
    <v>50</v>
  </rv>
  <rv s="0">
    <v>https://www.bing.com/financeapi/forcetrigger?t=a1zzmw&amp;q=XNYS%3aPM&amp;form=skydnc</v>
    <v>Learn more on Bing</v>
  </rv>
  <rv s="1">
    <v>en-US</v>
    <v>a1zzmw</v>
    <v>268435456</v>
    <v>1</v>
    <v>Powered by Refinitiv</v>
    <v>0</v>
    <v>Philip Morris International Inc. (XNYS:PM)</v>
    <v>2</v>
    <v>3</v>
    <v>Finance</v>
    <v>4</v>
    <v>186.69</v>
    <v>118.31</v>
    <v>0.41310000000000002</v>
    <v>1</v>
    <v>-9.3310000000000008E-3</v>
    <v>5.7949999999999998E-3</v>
    <v>-1.62</v>
    <v>USD</v>
    <v>Philip Morris International Inc. is an international tobacco company. The Company’s product portfolio primarily consists of cigarettes and smoke-free products. Its smoke-free business (SFB) also includes wellness and healthcare products, as well as consumer accessories, such as lighters and matches. The Company’s segments include Europe Region; South and Southeast Asia, Commonwealth of Independent States, Middle East and Africa Region (SSEA, CIS &amp; MEA); East Asia, Australia &amp; PMI Global Travel Retail (EA, AU &amp; PMI GTR), and Americas Region. The Company's brands include Marlboro, HEETS, IQOS, IQOS ILUMA, TEREA, VEEV and ZYN. Its IQOS smoke-free product brand portfolio includes heated tobacco and nicotine-containing vapor products. Its international cigarette brands are Chesterfield, L&amp;M, and Philip Morris. It also owns a number of local cigarette brands, such as Dji Sam Soe and Sampoerna A in Indonesia, and Fortune and Jackpot in the Philippines.</v>
    <v>83100</v>
    <v>New York Stock Exchange</v>
    <v>XNYS</v>
    <v>XNYS</v>
    <v>677 Washington Blvd, Ste. 1100, STAMFORD, CT, 06901 US</v>
    <v>174.28</v>
    <v>Food &amp; Tobacco</v>
    <v>Stock</v>
    <v>46039.040859501561</v>
    <v>52</v>
    <v>170.77</v>
    <v>270170264840</v>
    <v>Philip Morris International Inc.</v>
    <v>Philip Morris International Inc.</v>
    <v>171.67</v>
    <v>27.3048</v>
    <v>172.56</v>
    <v>173.56</v>
    <v>172</v>
    <v>1556639000</v>
    <v>PM</v>
    <v>Philip Morris International Inc. (XNYS:PM)</v>
    <v>5068244</v>
    <v>5743349</v>
    <v>2007</v>
  </rv>
  <rv s="2">
    <v>53</v>
  </rv>
  <rv s="0">
    <v>https://www.bing.com/financeapi/forcetrigger?t=a1z11h&amp;q=XNYS%3aO&amp;form=skydnc</v>
    <v>Learn more on Bing</v>
  </rv>
  <rv s="1">
    <v>en-US</v>
    <v>a1z11h</v>
    <v>268435456</v>
    <v>1</v>
    <v>Powered by Refinitiv</v>
    <v>0</v>
    <v>REALTY INCOME CORPORATION (XNYS:O)</v>
    <v>2</v>
    <v>3</v>
    <v>Finance</v>
    <v>4</v>
    <v>61.54</v>
    <v>50.71</v>
    <v>0.79649999999999999</v>
    <v>0.68500000000000005</v>
    <v>-1.4649999999999999E-3</v>
    <v>1.1281000000000001E-2</v>
    <v>-0.09</v>
    <v>USD</v>
    <v>Realty Income Corporation is a real estate investment trust. The Company is engaged in acquiring and managing freestanding commercial properties that generate rental revenue under long-term net lease agreements with its commercial clients. It is engaged in a single business activity, which is the leasing of property to clients, generally on a net basis. That business activity spans various geographic boundaries and includes property types and clients engaged in various industries. The Company owns or holds interests in approximately 15,621 properties located in all 50 United States (U.S.) states, the United Kingdom, France, Germany, Ireland, Italy, Portugal, and Spain with clients doing business in 89 industries. Its property types include retail, industrial, gaming and others, such as agriculture and office. Its primary industry concentrations include grocery stores, convenience stores, dollar stores, drug stores, home improvement, restaurants-quick service and others.</v>
    <v>468</v>
    <v>New York Stock Exchange</v>
    <v>XNYS</v>
    <v>XNYS</v>
    <v>11995 El Camino Real, SAN DIEGO, CA, 92130 US</v>
    <v>61.54</v>
    <v>Residential &amp; Commercial REIT</v>
    <v>Stock</v>
    <v>46039.041309282031</v>
    <v>55</v>
    <v>60.38</v>
    <v>56486815649</v>
    <v>REALTY INCOME CORPORATION</v>
    <v>REALTY INCOME CORPORATION</v>
    <v>60.47</v>
    <v>57.360999999999997</v>
    <v>60.72</v>
    <v>61.405000000000001</v>
    <v>61.33</v>
    <v>919905800</v>
    <v>O</v>
    <v>REALTY INCOME CORPORATION (XNYS:O)</v>
    <v>7223374</v>
    <v>6534088</v>
    <v>1997</v>
  </rv>
  <rv s="2">
    <v>56</v>
  </rv>
  <rv s="8">
    <v>en-US</v>
    <v>ccloyc</v>
    <v>268435456</v>
    <v>1</v>
    <v>Powered by Refinitiv</v>
    <v>17</v>
    <v>Roundhill I-100 0DTE CCS (BATS:QDTE)</v>
    <v>18</v>
    <v>19</v>
    <v>Finance</v>
    <v>9</v>
    <v>41.185000000000002</v>
    <v>29.260200000000001</v>
    <v>0.01</v>
    <v>3.2019999999999998E-4</v>
    <v>3.234E-4</v>
    <v>9.9000000000000008E-3</v>
    <v>USD</v>
    <v>CBOE BZX Exchange</v>
    <v>BATS</v>
    <v>9.7000000000000003E-3</v>
    <v>31.136399999999998</v>
    <v>ETF</v>
    <v>46038.037827349217</v>
    <v>30.81</v>
    <v>913331563.97000003</v>
    <v>Roundhill I-100 0DTE CCS</v>
    <v>31.12</v>
    <v>30.92</v>
    <v>30.93</v>
    <v>30.9299</v>
    <v>QDTE</v>
    <v>Roundhill I-100 0DTE CCS (BATS:QDTE)</v>
    <v>1036921</v>
    <v>924395</v>
  </rv>
  <rv s="2">
    <v>58</v>
  </rv>
  <rv s="0">
    <v>https://www.bing.com/financeapi/forcetrigger?t=bwxxoc&amp;q=XNAS%3aSOFI&amp;form=skydnc</v>
    <v>Learn more on Bing</v>
  </rv>
  <rv s="1">
    <v>en-US</v>
    <v>bwxxoc</v>
    <v>268435456</v>
    <v>1</v>
    <v>Powered by Refinitiv</v>
    <v>0</v>
    <v>SOFI TECHNOLOGIES, INC. (XNAS:SOFI)</v>
    <v>2</v>
    <v>3</v>
    <v>Finance</v>
    <v>4</v>
    <v>32.729999999999997</v>
    <v>8.6</v>
    <v>2.1389</v>
    <v>-0.31</v>
    <v>-1.1479999999999999E-3</v>
    <v>-1.1725000000000001E-2</v>
    <v>-0.03</v>
    <v>USD</v>
    <v>SoFi Technologies, Inc. is a member-centric, one-stop shop for digital financial services. The Company, through its lending and financial services products, allows members to borrow, save, spend, invest and protect their money. The Company's segments include Lending, Technology Platform and Financial Services. The Lending segment offers personal loans, student loans, home loans and related servicing to help its members with a variety of financial needs. Its platform supports the full transaction lifecycle, including credit application, underwriting, approval, funding and servicing. The Technology Platform segment provides services through a diversified suite of offerings which include an event and authorization platform accessed via application programming interfaces, a cloud-native digital and core banking platform and services related to both platforms. The Financial Services segment offers a suite of financial services solutions, including SoFi Money and SoFi Invest.</v>
    <v>5000</v>
    <v>Nasdaq Stock Market</v>
    <v>XNAS</v>
    <v>XNAS</v>
    <v>234 1st Street, SAN FRANCISCO, CA, 94105 US</v>
    <v>26.78</v>
    <v>Banking Services</v>
    <v>Stock</v>
    <v>46039.041585810155</v>
    <v>60</v>
    <v>26.01</v>
    <v>33114470610</v>
    <v>SOFI TECHNOLOGIES, INC.</v>
    <v>SOFI TECHNOLOGIES, INC.</v>
    <v>26.54</v>
    <v>48.376199999999997</v>
    <v>26.44</v>
    <v>26.13</v>
    <v>26.1</v>
    <v>1267297000</v>
    <v>SOFI</v>
    <v>SOFI TECHNOLOGIES, INC. (XNAS:SOFI)</v>
    <v>40832265</v>
    <v>46108431</v>
    <v>2021</v>
  </rv>
  <rv s="2">
    <v>61</v>
  </rv>
  <rv s="0">
    <v>http://en.wikipedia.org/wiki/Sony_Corporation_of_America</v>
    <v>Wikipedia</v>
  </rv>
  <rv s="5">
    <v>36</v>
    <v>63</v>
  </rv>
  <rv s="6">
    <v>16</v>
    <v>https://www.bing.com/th?id=AMMS_ae9f622f64f109cc937f5e2dec52dc40&amp;qlt=95</v>
    <v>64</v>
    <v>0</v>
    <v>https://www.bing.com/images/search?form=xlimg&amp;q=sony+corporation+of+america</v>
    <v>Image of Sony Group Corporation</v>
  </rv>
  <rv s="0">
    <v>https://www.bing.com/financeapi/forcetrigger?t=a2wb8m&amp;q=OTCM%3aSNEJF&amp;form=skydnc</v>
    <v>Learn more on Bing</v>
  </rv>
  <rv s="7">
    <v>en-US</v>
    <v>a2wb8m</v>
    <v>268435456</v>
    <v>1</v>
    <v>Powered by Refinitiv</v>
    <v>12</v>
    <v>Sony Group Corporation (OTCM:SNEJF)</v>
    <v>14</v>
    <v>20</v>
    <v>Finance</v>
    <v>21</v>
    <v>31.448</v>
    <v>19.318999999999999</v>
    <v>0.86029999999999995</v>
    <v>-0.10199999999999999</v>
    <v>-3.6470000000000001E-3</v>
    <v>-4.2100000000000002E-3</v>
    <v>-8.7999999999999995E-2</v>
    <v>USD</v>
    <v>Sony Group Corp is a Japan-based company engaged in the games &amp; network services (G&amp;NS), music, movies, entertainment technology &amp; services (ET&amp;S), imaging &amp; sensing solutions (I&amp;SS) and other businesses. It has seven business segments. G&amp;NS segment is involved in network service business, the manufacture and sale of home video game consoles and software. The Music segment mainly includes music production, music publishing and video media platform businesses. The Movies segment mainly includes film production, television program production and media network businesses. The ET&amp;S field mainly includes the television business, audio, video business, still image, video camera business, smartphone business and Internet-related service business. The I&amp;SS segment mainly includes the image sensor business. The Financial segment is involved in the insurance business and banking business. The Other segment consists of activities such as disc manufacturing business and recording media business.</v>
    <v>112300</v>
    <v>OTC Markets</v>
    <v>OTCM</v>
    <v>OTCM</v>
    <v>1-7-1, Konan, MINATO-KU, TOKYO-TO, 108-0075 JP</v>
    <v>24.35</v>
    <v>65</v>
    <v>Computers, Phones &amp; Household Electronics</v>
    <v>Stock</v>
    <v>46038.930555555555</v>
    <v>66</v>
    <v>24.04</v>
    <v>23584520000000</v>
    <v>Sony Group Corporation</v>
    <v>Sony Group Corporation</v>
    <v>24.288</v>
    <v>18.3232</v>
    <v>24.23</v>
    <v>24.128</v>
    <v>24.04</v>
    <v>6149811000</v>
    <v>SNEJF</v>
    <v>Sony Group Corporation (OTCM:SNEJF)</v>
    <v>25426</v>
    <v>16075400</v>
    <v>1946</v>
  </rv>
  <rv s="2">
    <v>67</v>
  </rv>
  <rv s="0">
    <v>https://www.bing.com/financeapi/forcetrigger?t=a1wljc&amp;q=XNYS%3aKO&amp;form=skydnc</v>
    <v>Learn more on Bing</v>
  </rv>
  <rv s="1">
    <v>en-US</v>
    <v>a1wljc</v>
    <v>268435456</v>
    <v>1</v>
    <v>Powered by Refinitiv</v>
    <v>0</v>
    <v>THE COCA-COLA COMPANY (XNYS:KO)</v>
    <v>2</v>
    <v>3</v>
    <v>Finance</v>
    <v>4</v>
    <v>74.38</v>
    <v>61.32</v>
    <v>0.36309999999999998</v>
    <v>-5.5E-2</v>
    <v>1.4200000000000001E-4</v>
    <v>-7.804E-4</v>
    <v>0.01</v>
    <v>USD</v>
    <v>The Coca-Cola Company is a beverage company. The Company's segments include Europe, Middle East and Africa; Latin America; North America; Asia Pacific; Global Ventures; and Bottling Investments. It sells multiple brands across several beverage categories worldwide. Its portfolio of sparkling soft drink brands includes Coca-Cola, Sprite and Fanta. Its water, sports, coffee and tea brands include Dasani, smartwater, vitaminwater, Topo Chico, BODYARMOR, Powerade, Costa, Georgia, Fuze Tea, Gold Peak and Ayataka. Its juice, value-added dairy and plant-based beverage brands include Minute Maid, Simply, innocent, Del Valle, fairlife and AdeS. It operates in two lines of business: concentrate operations and finished product operations. Its concentrate operations sell beverage concentrates, syrups, including fountain syrups, and certain finished beverages to authorized bottling operations. Its finished product operations sell sparkling soft drinks and a variety of other finished beverages.</v>
    <v>69700</v>
    <v>New York Stock Exchange</v>
    <v>XNYS</v>
    <v>XNYS</v>
    <v>1 Coca Cola Plz NW, ATLANTA, GA, 30313-2420 US</v>
    <v>70.739999999999995</v>
    <v>Beverages</v>
    <v>Stock</v>
    <v>46039.041045092185</v>
    <v>69</v>
    <v>70.040000000000006</v>
    <v>302940813825</v>
    <v>THE COCA-COLA COMPANY</v>
    <v>THE COCA-COLA COMPANY</v>
    <v>70.290000000000006</v>
    <v>23.313400000000001</v>
    <v>70.48</v>
    <v>70.424999999999997</v>
    <v>70.45</v>
    <v>4301609000</v>
    <v>KO</v>
    <v>THE COCA-COLA COMPANY (XNYS:KO)</v>
    <v>20027535</v>
    <v>16680630</v>
    <v>1919</v>
  </rv>
  <rv s="2">
    <v>70</v>
  </rv>
  <rv s="0">
    <v>https://www.bing.com/financeapi/forcetrigger?t=a1zsjc&amp;q=XNYS%3aPG&amp;form=skydnc</v>
    <v>Learn more on Bing</v>
  </rv>
  <rv s="1">
    <v>en-US</v>
    <v>a1zsjc</v>
    <v>268435456</v>
    <v>1</v>
    <v>Powered by Refinitiv</v>
    <v>0</v>
    <v>THE PROCTER &amp; GAMBLE COMPANY (XNYS:PG)</v>
    <v>2</v>
    <v>3</v>
    <v>Finance</v>
    <v>4</v>
    <v>179.99</v>
    <v>137.62</v>
    <v>0.37390000000000001</v>
    <v>-0.125</v>
    <v>-8.9950000000000002E-4</v>
    <v>-8.6430000000000003E-4</v>
    <v>-0.13</v>
    <v>USD</v>
    <v>The Procter &amp; Gamble Company is focused on providing branded consumer packaged goods to consumers across the world. The Company’s segments include Beauty, Grooming, Health Care, Fabric &amp; Home Care and Baby, Feminine &amp; Family Care. The Company’s products are sold in approximately 180 countries and territories primarily through mass merchandisers, e-commerce, including social commerce channels, grocery stores, membership club stores, drug stores, department stores, distributors, wholesalers, specialty beauty stores, including airport duty-free stores), high-frequency stores, pharmacies, electronics stores and professional channels. It also sells direct to individual consumers. It has operations in approximately 70 countries. It offers products under brands, such as Head &amp; Shoulders, Herbal Essences, Pantene, Rejoice, Olay, Old Spice, Safeguard, Secret, SK-II, Braun, Gillette, Venus, Crest, Oral-B, Ariel, Downy, Gain, Tide, Always, Always Discreet, Tampax, Bounty and others.</v>
    <v>109000</v>
    <v>New York Stock Exchange</v>
    <v>XNYS</v>
    <v>XNYS</v>
    <v>One Procter &amp; Gamble Plaza, CINCINNATI, OH, 45202 US</v>
    <v>144.72999999999999</v>
    <v>Personal &amp; Household Products &amp; Services</v>
    <v>Stock</v>
    <v>46039.039282546095</v>
    <v>72</v>
    <v>143.655</v>
    <v>337669746670</v>
    <v>THE PROCTER &amp; GAMBLE COMPANY</v>
    <v>THE PROCTER &amp; GAMBLE COMPANY</v>
    <v>143.76</v>
    <v>21.0947</v>
    <v>144.63</v>
    <v>144.505</v>
    <v>144.4</v>
    <v>2336734000</v>
    <v>PG</v>
    <v>THE PROCTER &amp; GAMBLE COMPANY (XNYS:PG)</v>
    <v>11729334</v>
    <v>10650779</v>
    <v>1905</v>
  </rv>
  <rv s="2">
    <v>73</v>
  </rv>
  <rv s="0">
    <v>https://www.bing.com/financeapi/forcetrigger?t=a22m27&amp;q=ARCX%3aSCHD&amp;form=skydnc</v>
    <v>Learn more on Bing</v>
  </rv>
  <rv s="4">
    <v>en-US</v>
    <v>a22m27</v>
    <v>268435456</v>
    <v>1</v>
    <v>Powered by Refinitiv</v>
    <v>10</v>
    <v>Schwab Str:US Div Eq ETF (ARCX:SCHD)</v>
    <v>7</v>
    <v>11</v>
    <v>Finance</v>
    <v>9</v>
    <v>29.11</v>
    <v>23.87</v>
    <v>0.91620000000000001</v>
    <v>-0.14499999999999999</v>
    <v>-3.4600000000000001E-4</v>
    <v>-4.9950000000000003E-3</v>
    <v>-0.01</v>
    <v>USD</v>
    <v>NYSE Arca</v>
    <v>ARCX</v>
    <v>5.9999999999999995E-4</v>
    <v>29.02</v>
    <v>ETF</v>
    <v>46039.041612499997</v>
    <v>75</v>
    <v>28.86</v>
    <v>71642514673.399994</v>
    <v>Schwab Str:US Div Eq ETF</v>
    <v>28.99</v>
    <v>29.03</v>
    <v>28.885000000000002</v>
    <v>28.89</v>
    <v>SCHD</v>
    <v>Schwab Str:US Div Eq ETF (ARCX:SCHD)</v>
    <v>19792286</v>
    <v>19074309</v>
  </rv>
  <rv s="2">
    <v>76</v>
  </rv>
  <rv s="0">
    <v>https://www.bing.com/financeapi/forcetrigger?t=a25hm7&amp;q=ARCX%3aVOO&amp;form=skydnc</v>
    <v>Learn more on Bing</v>
  </rv>
  <rv s="4">
    <v>en-US</v>
    <v>a25hm7</v>
    <v>268435456</v>
    <v>1</v>
    <v>Powered by Refinitiv</v>
    <v>10</v>
    <v>Vanguard 500 Idx;ETF (ARCX:VOO)</v>
    <v>7</v>
    <v>11</v>
    <v>Finance</v>
    <v>9</v>
    <v>640.16</v>
    <v>442.8</v>
    <v>1.0001</v>
    <v>-0.56000000000000005</v>
    <v>-7.8609999999999998E-6</v>
    <v>-8.7959999999999991E-4</v>
    <v>-5.0000000000000001E-3</v>
    <v>USD</v>
    <v>NYSE Arca</v>
    <v>ARCX</v>
    <v>2.9999999999999997E-4</v>
    <v>638.50990000000002</v>
    <v>ETF</v>
    <v>46039.041663263284</v>
    <v>78</v>
    <v>634.67999999999995</v>
    <v>839088360786</v>
    <v>Vanguard 500 Idx;ETF</v>
    <v>637.96</v>
    <v>636.62</v>
    <v>636.05999999999995</v>
    <v>636.08500000000004</v>
    <v>VOO</v>
    <v>Vanguard 500 Idx;ETF (ARCX:VOO)</v>
    <v>6733684</v>
    <v>12094615</v>
  </rv>
  <rv s="2">
    <v>79</v>
  </rv>
  <rv s="0">
    <v>https://www.bing.com/financeapi/forcetrigger?t=a25nhw&amp;q=ARCX%3aVWO&amp;form=skydnc</v>
    <v>Learn more on Bing</v>
  </rv>
  <rv s="4">
    <v>en-US</v>
    <v>a25nhw</v>
    <v>268435456</v>
    <v>1</v>
    <v>Powered by Refinitiv</v>
    <v>10</v>
    <v>Vanguard EM St I;ETF (ARCX:VWO)</v>
    <v>7</v>
    <v>11</v>
    <v>Finance</v>
    <v>9</v>
    <v>56.57</v>
    <v>39.53</v>
    <v>0.84940000000000004</v>
    <v>-0.35499999999999998</v>
    <v>5.2230000000000002E-3</v>
    <v>-6.3010000000000002E-3</v>
    <v>0.29249999999999998</v>
    <v>USD</v>
    <v>NYSE Arca</v>
    <v>ARCX</v>
    <v>7.000000000000001E-4</v>
    <v>56.15</v>
    <v>ETF</v>
    <v>46039.039423946095</v>
    <v>81</v>
    <v>55.780099999999997</v>
    <v>105413624461</v>
    <v>Vanguard EM St I;ETF</v>
    <v>56.09</v>
    <v>56.34</v>
    <v>55.984999999999999</v>
    <v>56.292499999999997</v>
    <v>VWO</v>
    <v>Vanguard EM St I;ETF (ARCX:VWO)</v>
    <v>12321371</v>
    <v>12256046</v>
  </rv>
  <rv s="2">
    <v>82</v>
  </rv>
  <rv s="0">
    <v>https://www.bing.com/financeapi/forcetrigger?t=a25mim&amp;q=XNAS%3aVTWO&amp;form=skydnc</v>
    <v>Learn more on Bing</v>
  </rv>
  <rv s="4">
    <v>en-US</v>
    <v>a25mim</v>
    <v>268435456</v>
    <v>1</v>
    <v>Powered by Refinitiv</v>
    <v>10</v>
    <v>Vanguard Rus 2000 Id;ETF (XNAS:VTWO)</v>
    <v>7</v>
    <v>11</v>
    <v>Finance</v>
    <v>9</v>
    <v>107.995</v>
    <v>69.38</v>
    <v>1</v>
    <v>0.09</v>
    <v>-3.725E-4</v>
    <v>8.3880000000000001E-4</v>
    <v>-0.04</v>
    <v>USD</v>
    <v>Nasdaq Stock Market</v>
    <v>XNAS</v>
    <v>8.0000000000000004E-4</v>
    <v>107.995</v>
    <v>ETF</v>
    <v>46039.035633691405</v>
    <v>84</v>
    <v>107</v>
    <v>13787598581</v>
    <v>Vanguard Rus 2000 Id;ETF</v>
    <v>107.43</v>
    <v>107.3</v>
    <v>107.39</v>
    <v>107.35</v>
    <v>VTWO</v>
    <v>Vanguard Rus 2000 Id;ETF (XNAS:VTWO)</v>
    <v>4543774</v>
    <v>3258174</v>
  </rv>
  <rv s="2">
    <v>85</v>
  </rv>
  <rv s="9">
    <v>en-US</v>
    <v>a1u3p2</v>
    <v>268435456</v>
    <v>1</v>
    <v>Powered by Refinitiv</v>
    <v>23</v>
    <v>ALPHABET INC. (XNAS:GOOG)</v>
    <v>2</v>
    <v>24</v>
    <v>Finance</v>
    <v>25</v>
    <v>208.7</v>
    <v>142.66</v>
    <v>1.0092000000000001</v>
    <v>0.79</v>
    <v>4.3949999999999996E-3</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185719</v>
    <v>Nasdaq Stock Market</v>
    <v>XNAS</v>
    <v>XNAS</v>
    <v>1600 Amphitheatre Parkway, MOUNTAIN VIEW, CA, 94043 US</v>
    <v>180.77</v>
    <v>Software &amp; IT Services</v>
    <v>Stock</v>
    <v>45841.874881642965</v>
    <v>0</v>
    <v>178.19</v>
    <v>2184165000000</v>
    <v>ALPHABET INC.</v>
    <v>ALPHABET INC.</v>
    <v>179.82</v>
    <v>20.0473</v>
    <v>179.76</v>
    <v>180.55</v>
    <v>12135000000</v>
    <v>GOOG</v>
    <v>ALPHABET INC. (XNAS:GOOG)</v>
    <v>13287389</v>
    <v>28376675</v>
    <v>2015</v>
  </rv>
  <rv s="2">
    <v>87</v>
  </rv>
  <rv s="9">
    <v>en-US</v>
    <v>a1nhlh</v>
    <v>268435456</v>
    <v>1</v>
    <v>Powered by Refinitiv</v>
    <v>23</v>
    <v>AMAZON.COM, INC. (XNAS:AMZN)</v>
    <v>2</v>
    <v>24</v>
    <v>Finance</v>
    <v>25</v>
    <v>242.52</v>
    <v>151.61000000000001</v>
    <v>1.3103</v>
    <v>3.49</v>
    <v>1.5869000000000001E-2</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1560000</v>
    <v>Nasdaq Stock Market</v>
    <v>XNAS</v>
    <v>XNAS</v>
    <v>410 Terry Avenue North, SEATTLE, WA, 98109 US</v>
    <v>224.01</v>
    <v>Diversified Retail</v>
    <v>Stock</v>
    <v>45841.874976469531</v>
    <v>3</v>
    <v>221.36</v>
    <v>2371799000000</v>
    <v>AMAZON.COM, INC.</v>
    <v>AMAZON.COM, INC.</v>
    <v>221.82</v>
    <v>35.866700000000002</v>
    <v>219.92</v>
    <v>223.41</v>
    <v>10616350000</v>
    <v>AMZN</v>
    <v>AMAZON.COM, INC. (XNAS:AMZN)</v>
    <v>29632353</v>
    <v>42235323</v>
    <v>1996</v>
  </rv>
  <rv s="2">
    <v>89</v>
  </rv>
  <rv s="9">
    <v>en-US</v>
    <v>a1mou2</v>
    <v>268435456</v>
    <v>1</v>
    <v>Powered by Refinitiv</v>
    <v>23</v>
    <v>APPLE INC. (XNAS:AAPL)</v>
    <v>2</v>
    <v>24</v>
    <v>Finance</v>
    <v>25</v>
    <v>260.10000000000002</v>
    <v>169.21010000000001</v>
    <v>1.1660999999999999</v>
    <v>1.1100000000000001</v>
    <v>5.2249999999999996E-3</v>
    <v>USD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and Apple Vision Pro.</v>
    <v>164000</v>
    <v>Nasdaq Stock Market</v>
    <v>XNAS</v>
    <v>XNAS</v>
    <v>One Apple Park Way, CUPERTINO, CA, 95014 US</v>
    <v>214.65</v>
    <v>Computers, Phones &amp; Household Electronics</v>
    <v>Stock</v>
    <v>45841.874976608597</v>
    <v>6</v>
    <v>211.81010000000001</v>
    <v>3189546000000</v>
    <v>APPLE INC.</v>
    <v>APPLE INC.</v>
    <v>212.14500000000001</v>
    <v>30.005299999999998</v>
    <v>212.44</v>
    <v>213.55</v>
    <v>14935830000</v>
    <v>AAPL</v>
    <v>APPLE INC. (XNAS:AAPL)</v>
    <v>34955836</v>
    <v>56594905</v>
    <v>1977</v>
  </rv>
  <rv s="2">
    <v>91</v>
  </rv>
  <rv s="10">
    <v>en-US</v>
    <v>c4efww</v>
    <v>268435456</v>
    <v>1</v>
    <v>Powered by Refinitiv</v>
    <v>26</v>
    <v>BigBear.ai Holdings, Inc. (XNYS:BBAI)</v>
    <v>2</v>
    <v>27</v>
    <v>Finance</v>
    <v>25</v>
    <v>10.36</v>
    <v>1.165</v>
    <v>3.2132999999999998</v>
    <v>0.19</v>
    <v>2.5131999999999998E-2</v>
    <v>USD</v>
    <v>BigBear.ai Holdings, Inc. is a provider of artificial intelligence (AI)-powered decision intelligence solutions for national security, supply chain management and digital identity. The Company is a technology-led solutions organization, providing both software and services to its customers. It combines subject-matter expertise with technology to connect the enterprise, provide insights on process performance and recommendations for managing risk. It offers computer vision, anomaly/event detection, and descriptive and predictive analytics to support operations and break down silos between vendors and systems. The Company’s customers span the public and private sector, including the United States defense and intelligence agencies, border protection, transportation security, manufacturing, distribution and logistics, as well as travel, entertainment and tourism. It also offers software assets that are tailored for digital identity and biometrics, leveraging advanced vision AI technology.</v>
    <v>630</v>
    <v>New York Stock Exchange</v>
    <v>XNYS</v>
    <v>XNYS</v>
    <v>7950 Jones Branch Drive, MCLEAN, VA, 22102 US</v>
    <v>8.2799999999999994</v>
    <v>Software &amp; IT Services</v>
    <v>Stock</v>
    <v>45841.875000010936</v>
    <v>9</v>
    <v>7.56</v>
    <v>2256713000</v>
    <v>BigBear.ai Holdings, Inc.</v>
    <v>BigBear.ai Holdings, Inc.</v>
    <v>7.84</v>
    <v>7.56</v>
    <v>7.75</v>
    <v>291188800</v>
    <v>BBAI</v>
    <v>BigBear.ai Holdings, Inc. (XNYS:BBAI)</v>
    <v>201359253</v>
    <v>173476068</v>
    <v>2020</v>
  </rv>
  <rv s="2">
    <v>93</v>
  </rv>
  <rv s="9">
    <v>en-US</v>
    <v>a1qlz2</v>
    <v>268435456</v>
    <v>1</v>
    <v>Powered by Refinitiv</v>
    <v>23</v>
    <v>CHEVRON CORPORATION (XNYS:CVX)</v>
    <v>2</v>
    <v>24</v>
    <v>Finance</v>
    <v>25</v>
    <v>168.96</v>
    <v>132.04</v>
    <v>0.8387</v>
    <v>0.39</v>
    <v>2.6350000000000002E-3</v>
    <v>USD</v>
    <v>Chevron Corporation is an integrated energy company. The Company produces crude oil and natural gas; manufactures transportation fuels, lubricants, petrochemicals and additives; and develops technologies that enhance our business and the industry. The Company’s upstream operations consist primarily of exploring for, developing, producing and transporting crude oil and natural gas; liquefaction, transportation and regasification associated with liquefied natural gas (LNG); transporting crude oil by major international oil export pipelines; processing, transporting, storage and marketing of natural gas; carbon capture and storage; and a gas-to-liquids plant. The Company’s downstream operations consist primarily of refining of crude oil into petroleum products; marketing of crude oil, refined products, and lubricants; manufacturing and marketing of renewable fuels; transporting of crude oil and refined products by pipeline, marine vessel, motor equipment and rail car; and others.</v>
    <v>45298</v>
    <v>New York Stock Exchange</v>
    <v>XNYS</v>
    <v>XNYS</v>
    <v>1400 SMITH STREET, HOUSTON, TX, 77002 US</v>
    <v>148.97999999999999</v>
    <v>Oil &amp; Gas</v>
    <v>Stock</v>
    <v>45841.875000022657</v>
    <v>12</v>
    <v>147.36000000000001</v>
    <v>259160700000</v>
    <v>CHEVRON CORPORATION</v>
    <v>CHEVRON CORPORATION</v>
    <v>147.84</v>
    <v>16.968499999999999</v>
    <v>147.97999999999999</v>
    <v>148.37</v>
    <v>1746719000</v>
    <v>CVX</v>
    <v>CHEVRON CORPORATION (XNYS:CVX)</v>
    <v>5173309</v>
    <v>9538344</v>
    <v>1926</v>
  </rv>
  <rv s="2">
    <v>95</v>
  </rv>
  <rv s="9">
    <v>en-US</v>
    <v>a1q4im</v>
    <v>268435456</v>
    <v>1</v>
    <v>Powered by Refinitiv</v>
    <v>23</v>
    <v>COCA-COLA CONSOLIDATED, INC. (XNAS:COKE)</v>
    <v>2</v>
    <v>24</v>
    <v>Finance</v>
    <v>25</v>
    <v>146.09200000000001</v>
    <v>105.21</v>
    <v>0.80689999999999995</v>
    <v>1.76</v>
    <v>1.5179E-2</v>
    <v>USD</v>
    <v>Coca-Cola Consolidated, Inc. distributes, markets and manufactures nonalcoholic beverages, primarily products of The Coca-Cola Company. The Company also distributes products to several other beverage companies, including Keurig Dr Pepper Inc. and Monster Energy Company. The Company offers a range of nonalcoholic beverage products and flavors, including both sparkling and still beverages. Sparkling beverages are carbonated beverages, and the Company's principal sparkling beverage is Coca-Cola. Its still beverages include energy products and noncarbonated beverages such as bottled water, ready to drink tea, ready to drink coffee, enhanced water, juices and sports drinks. Its products are sold and distributed in the United States through various channels, which include selling directly to customers, including grocery stores, mass merchandise stores, club stores, convenience stores and drug stores, and selling to on-premise locations, where products are typically consumed immediately.</v>
    <v>15000</v>
    <v>Nasdaq Stock Market</v>
    <v>XNAS</v>
    <v>XNAS</v>
    <v>4100 COCA COLA PLZ, CHARLOTTE, NC, 28211 US</v>
    <v>118.05</v>
    <v>Beverages</v>
    <v>Stock</v>
    <v>45841.873438240626</v>
    <v>15</v>
    <v>115.26</v>
    <v>10261700000</v>
    <v>COCA-COLA CONSOLIDATED, INC.</v>
    <v>COCA-COLA CONSOLIDATED, INC.</v>
    <v>116.25</v>
    <v>18.0748</v>
    <v>115.95</v>
    <v>117.71</v>
    <v>87177840</v>
    <v>COKE</v>
    <v>COCA-COLA CONSOLIDATED, INC. (XNAS:COKE)</v>
    <v>467451</v>
    <v>737342</v>
    <v>1980</v>
  </rv>
  <rv s="2">
    <v>97</v>
  </rv>
  <rv s="9">
    <v>en-US</v>
    <v>a1rqc7</v>
    <v>268435456</v>
    <v>1</v>
    <v>Powered by Refinitiv</v>
    <v>23</v>
    <v>Ellington Financial Inc. (XNYS:EFC)</v>
    <v>2</v>
    <v>24</v>
    <v>Finance</v>
    <v>25</v>
    <v>14.4</v>
    <v>11.12</v>
    <v>0.99739999999999995</v>
    <v>7.0000000000000007E-2</v>
    <v>5.3480000000000003E-3</v>
    <v>USD</v>
    <v>Ellington Financial Inc. is a real estate investment trust. The Company acquires and manages mortgage-related, consumer-related, corporate-related, and other financial assets. The Company’s segments include the Investment Portfolio Segment and the Longbridge Segment. The Investment Portfolio Segment is focused on investing in a diverse array of financial assets, including residential and commercial mortgage loans, residential mortgage-backed securities (RMBS), commercial mortgage-backed securities (CMBS), consumer loans and asset-backed securities (ABS), including ABS-backed by consumer loans, collateralized loan obligations (CLOs), non-mortgage- and mortgage-related derivatives, debt and equity investments in loan origination companies, and other strategic investments. The Longbridge Segment is focused on the origination and servicing of, and investment in, reverse mortgage loans. The Company is externally managed and advised by Ellington Financial Management LLC.</v>
    <v>400</v>
    <v>New York Stock Exchange</v>
    <v>XNYS</v>
    <v>XNYS</v>
    <v>53 Forest Ave, OLD GREENWICH, CT, 06870-1526 US</v>
    <v>13.18</v>
    <v>Residential &amp; Commercial REIT</v>
    <v>Stock</v>
    <v>45841.875000034372</v>
    <v>18</v>
    <v>13.01</v>
    <v>1243793000</v>
    <v>Ellington Financial Inc.</v>
    <v>Ellington Financial Inc.</v>
    <v>13.05</v>
    <v>9.3195999999999994</v>
    <v>13.09</v>
    <v>13.16</v>
    <v>94513140</v>
    <v>EFC</v>
    <v>Ellington Financial Inc. (XNYS:EFC)</v>
    <v>723198</v>
    <v>910586</v>
    <v>2007</v>
  </rv>
  <rv s="2">
    <v>99</v>
  </rv>
  <rv s="11">
    <v>en-US</v>
    <v>a1s2oc</v>
    <v>268435456</v>
    <v>1</v>
    <v>Powered by Refinitiv</v>
    <v>28</v>
    <v>ENTERPRISE PRODUCTS PARTNERS UNT (XNYS:EPD)</v>
    <v>7</v>
    <v>29</v>
    <v>Finance</v>
    <v>30</v>
    <v>34.630000000000003</v>
    <v>27.37</v>
    <v>7.0000000000000007E-2</v>
    <v>2.2260000000000001E-3</v>
    <v>USD</v>
    <v>New York Stock Exchange</v>
    <v>XNYS</v>
    <v>31.535</v>
    <v>ETF</v>
    <v>45841.875000022657</v>
    <v>21</v>
    <v>31.27</v>
    <v>ENTERPRISE PRODUCTS PARTNERS UNT</v>
    <v>31.45</v>
    <v>31.44</v>
    <v>31.51</v>
    <v>EPD</v>
    <v>ENTERPRISE PRODUCTS PARTNERS UNT (XNYS:EPD)</v>
    <v>1887818</v>
    <v>3851691</v>
  </rv>
  <rv s="2">
    <v>101</v>
  </rv>
  <rv s="9">
    <v>en-US</v>
    <v>a1vmf2</v>
    <v>268435456</v>
    <v>1</v>
    <v>Powered by Refinitiv</v>
    <v>23</v>
    <v>INTEL CORPORATION (XNAS:INTC)</v>
    <v>2</v>
    <v>24</v>
    <v>Finance</v>
    <v>25</v>
    <v>37.159999999999997</v>
    <v>17.664999999999999</v>
    <v>1.2266999999999999</v>
    <v>0.61</v>
    <v>2.7879000000000001E-2</v>
    <v>USD</v>
    <v>Intel Corporation is a global designer and manufacturer of semiconductor products. The Company operates through three segments: Intel Products, Intel Foundry, and All Other. Its Intel Products segment includes Client Computing Group (CCG), Data Center and AI (DCAI), Network and Edge (NEX). The CCG is bringing together the operating system, system architecture, hardware, and software application integration to enable PC experiences. DCAI delivers workload-optimized solutions to cloud service providers and enterprises, along with silicon devices for communications service providers, network and edge, and HPC customers. NEX helps networks and edge compute systems from fixed-function hardware to general-purpose compute, acceleration, and networking devices running cloud native software on programmable hardware. The Intel Foundry segment comprises technology development, manufacturing and foundry services. All Other segments include Altera, Mobileye, Other.</v>
    <v>108900</v>
    <v>Nasdaq Stock Market</v>
    <v>XNAS</v>
    <v>XNAS</v>
    <v>2200 Mission College Blvd, Rnb-4-151, SANTA CLARA, CA, 95054 US</v>
    <v>22.63</v>
    <v>Semiconductors &amp; Semiconductor Equipment</v>
    <v>Stock</v>
    <v>45841.874995914062</v>
    <v>24</v>
    <v>21.99</v>
    <v>98101380000</v>
    <v>INTEL CORPORATION</v>
    <v>INTEL CORPORATION</v>
    <v>22.15</v>
    <v>0</v>
    <v>21.88</v>
    <v>22.49</v>
    <v>4362000000</v>
    <v>INTC</v>
    <v>INTEL CORPORATION (XNAS:INTC)</v>
    <v>61175951</v>
    <v>91916116</v>
    <v>1989</v>
  </rv>
  <rv s="2">
    <v>103</v>
  </rv>
  <rv s="12">
    <v>en-US</v>
    <v>c2ldqh</v>
    <v>268435456</v>
    <v>1</v>
    <v>Powered by Refinitiv</v>
    <v>31</v>
    <v>iShares Gold Trust Micro (ARCX:IAUM)</v>
    <v>7</v>
    <v>32</v>
    <v>Finance</v>
    <v>30</v>
    <v>34.366500000000002</v>
    <v>23.444600000000001</v>
    <v>0.84689999999999999</v>
    <v>-0.25</v>
    <v>-7.4650000000000003E-3</v>
    <v>USD</v>
    <v>NYSE Arca</v>
    <v>ARCX</v>
    <v>7.000000000000001E-4</v>
    <v>33.29</v>
    <v>ETF</v>
    <v>45841.875000046093</v>
    <v>27</v>
    <v>33.145000000000003</v>
    <v>3040481371.9699998</v>
    <v>iShares Gold Trust Micro</v>
    <v>33.229999999999997</v>
    <v>33.49</v>
    <v>33.24</v>
    <v>IAUM</v>
    <v>iShares Gold Trust Micro (ARCX:IAUM)</v>
    <v>1384879</v>
    <v>2550910</v>
  </rv>
  <rv s="2">
    <v>105</v>
  </rv>
  <rv s="12">
    <v>en-US</v>
    <v>c64l2w</v>
    <v>268435456</v>
    <v>1</v>
    <v>Powered by Refinitiv</v>
    <v>31</v>
    <v>JPMorgan:Nsdq Eq Prm Inc (XNAS:JEPQ)</v>
    <v>7</v>
    <v>32</v>
    <v>Finance</v>
    <v>30</v>
    <v>58.54</v>
    <v>44.311</v>
    <v>0.70250000000000001</v>
    <v>0.18</v>
    <v>3.3350000000000003E-3</v>
    <v>USD</v>
    <v>Nasdaq Stock Market</v>
    <v>XNAS</v>
    <v>3.4999999999999996E-3</v>
    <v>54.19</v>
    <v>ETF</v>
    <v>45841.874984779686</v>
    <v>30</v>
    <v>54.07</v>
    <v>27824706962.540001</v>
    <v>JPMorgan:Nsdq Eq Prm Inc</v>
    <v>54.13</v>
    <v>53.98</v>
    <v>54.16</v>
    <v>JEPQ</v>
    <v>JPMorgan:Nsdq Eq Prm Inc (XNAS:JEPQ)</v>
    <v>5122402</v>
    <v>6608823</v>
  </rv>
  <rv s="2">
    <v>107</v>
  </rv>
  <rv s="9">
    <v>en-US</v>
    <v>a1x9sm</v>
    <v>268435456</v>
    <v>1</v>
    <v>Powered by Refinitiv</v>
    <v>23</v>
    <v>MAIN STREET CAPITAL CORPORATION (XNYS:MAIN)</v>
    <v>2</v>
    <v>24</v>
    <v>Finance</v>
    <v>25</v>
    <v>63.314999999999998</v>
    <v>45</v>
    <v>0.84409999999999996</v>
    <v>0.97</v>
    <v>1.6123999999999999E-2</v>
    <v>USD</v>
    <v>Main Street Capital Corporation is a principal investment company primarily focused on providing customized debt and equity financing to lower middle market (LMM) companies and debt capital to middle market (Middle Market) companies. Its portfolio investments are typically made to support management buyouts, recapitalizations, growth financings, refinancings and acquisitions of companies that operate in a variety of industry sectors. The Company invests primarily in secured debt investments, equity investments, warrants and other securities of LMM companies based in the United States and in secured debt investments of Middle Market companies generally headquartered in the United States. It owns several investment funds, including Main Street Mezzanine Fund, LP and Main Street Capital III, LP, (collectively the Funds), and each of their general partners. The Funds are each licensed as a Small Business Investment Company (SBIC) by the United States Small Business Administration (SBA).</v>
    <v>104</v>
    <v>New York Stock Exchange</v>
    <v>XNYS</v>
    <v>XNYS</v>
    <v>1300 Post Oak Blvd, 8th Floor, HOUSTON, TX, 77056 US</v>
    <v>61.18</v>
    <v>Investment Banking &amp; Investment Services</v>
    <v>Stock</v>
    <v>45841.875000046093</v>
    <v>33</v>
    <v>60.2</v>
    <v>5442365000</v>
    <v>MAIN STREET CAPITAL CORPORATION</v>
    <v>MAIN STREET CAPITAL CORPORATION</v>
    <v>60.3</v>
    <v>10.216799999999999</v>
    <v>60.16</v>
    <v>61.13</v>
    <v>89029360</v>
    <v>MAIN</v>
    <v>MAIN STREET CAPITAL CORPORATION (XNYS:MAIN)</v>
    <v>383183</v>
    <v>440086</v>
    <v>2007</v>
  </rv>
  <rv s="2">
    <v>109</v>
  </rv>
  <rv s="13">
    <v>en-US</v>
    <v>a1xdec</v>
    <v>268435456</v>
    <v>1</v>
    <v>Powered by Refinitiv</v>
    <v>33</v>
    <v>MCDONALD'S CORPORATION (XNYS:MCD)</v>
    <v>14</v>
    <v>34</v>
    <v>Finance</v>
    <v>25</v>
    <v>326.32</v>
    <v>243.53</v>
    <v>0.52</v>
    <v>-0.55000000000000004</v>
    <v>-1.867E-3</v>
    <v>USD</v>
    <v>McDonald's Corporation is a global foodservice retailer. Its segment includes U.S., International Operated Markets, and International Developmental Licensed Markets &amp; Corporate. The U.S. segment is its largest market and is 95% franchised. The International Operated Markets segment is comprised of markets, or countries in which it operates and franchises restaurants, including Australia, Canada, France, Germany, Italy, Poland, Spain, and the United Kingdom. This segment is 89% franchised. The International Developmental Licensed Markets &amp; Corporate segment is comprised of developmental licensee and affiliate markets, including equity method investments in China and Japan. This segment is 99% franchised. Its menu features hamburgers and cheeseburgers, the Big Mac, the Quarter Pounder with Cheese, the Filet-O-Fish, and several chicken sandwiches, such as the McChicken and McCrispy as well as Chicken McNuggets, Fries, shakes, sundaes, cookies, soft drinks, coffee, and other beverages.</v>
    <v>150000</v>
    <v>New York Stock Exchange</v>
    <v>XNYS</v>
    <v>XNYS</v>
    <v>110 N Carpenter St, CHICAGO, IL, 60607-2104 US</v>
    <v>294.83</v>
    <v>39</v>
    <v>Hotels &amp; Entertainment Services</v>
    <v>Stock</v>
    <v>45841.875000022657</v>
    <v>40</v>
    <v>292.60500000000002</v>
    <v>210276800000</v>
    <v>MCDONALD'S CORPORATION</v>
    <v>MCDONALD'S CORPORATION</v>
    <v>294.67</v>
    <v>25.992000000000001</v>
    <v>294.63</v>
    <v>294.08</v>
    <v>715032700</v>
    <v>MCD</v>
    <v>MCDONALD'S CORPORATION (XNYS:MCD)</v>
    <v>1678645</v>
    <v>3953620</v>
    <v>1964</v>
  </rv>
  <rv s="2">
    <v>111</v>
  </rv>
  <rv s="13">
    <v>en-US</v>
    <v>a1xzim</v>
    <v>268435456</v>
    <v>1</v>
    <v>Powered by Refinitiv</v>
    <v>33</v>
    <v>MICROSOFT CORPORATION (XNAS:MSFT)</v>
    <v>14</v>
    <v>34</v>
    <v>Finance</v>
    <v>25</v>
    <v>500.76</v>
    <v>344.79</v>
    <v>1.0511999999999999</v>
    <v>7.75</v>
    <v>1.5781E-2</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Nasdaq Stock Market</v>
    <v>XNAS</v>
    <v>XNAS</v>
    <v>One Microsoft Way, REDMOND, WA, 98052 US</v>
    <v>500.13</v>
    <v>45</v>
    <v>Software &amp; IT Services</v>
    <v>Stock</v>
    <v>45841.874978853906</v>
    <v>46</v>
    <v>493.44</v>
    <v>3707650000000</v>
    <v>MICROSOFT CORPORATION</v>
    <v>MICROSOFT CORPORATION</v>
    <v>493.81</v>
    <v>37.9529</v>
    <v>491.09</v>
    <v>498.84</v>
    <v>7432544000</v>
    <v>MSFT</v>
    <v>MICROSOFT CORPORATION (XNAS:MSFT)</v>
    <v>13984829</v>
    <v>20135270</v>
    <v>1993</v>
  </rv>
  <rv s="2">
    <v>113</v>
  </rv>
  <rv s="9">
    <v>en-US</v>
    <v>a1yv52</v>
    <v>268435456</v>
    <v>1</v>
    <v>Powered by Refinitiv</v>
    <v>23</v>
    <v>NVIDIA CORPORATION (XNAS:NVDA)</v>
    <v>2</v>
    <v>24</v>
    <v>Finance</v>
    <v>25</v>
    <v>160.97999999999999</v>
    <v>86.62</v>
    <v>2.1406999999999998</v>
    <v>2.09</v>
    <v>1.3290999999999999E-2</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36000</v>
    <v>Nasdaq Stock Market</v>
    <v>XNAS</v>
    <v>XNAS</v>
    <v>2788 San Tomas Expressway, SANTA CLARA, CA, 95051 US</v>
    <v>160.97999999999999</v>
    <v>Semiconductors &amp; Semiconductor Equipment</v>
    <v>Stock</v>
    <v>45841.874982823436</v>
    <v>49</v>
    <v>157.77000000000001</v>
    <v>3887896000000</v>
    <v>NVIDIA CORPORATION</v>
    <v>NVIDIA CORPORATION</v>
    <v>158.37</v>
    <v>50.6524</v>
    <v>157.25</v>
    <v>159.34</v>
    <v>24400000000</v>
    <v>NVDA</v>
    <v>NVIDIA CORPORATION (XNAS:NVDA)</v>
    <v>143716055</v>
    <v>208579384</v>
    <v>1998</v>
  </rv>
  <rv s="2">
    <v>115</v>
  </rv>
  <rv s="9">
    <v>en-US</v>
    <v>a1zzmw</v>
    <v>268435456</v>
    <v>1</v>
    <v>Powered by Refinitiv</v>
    <v>23</v>
    <v>Philip Morris International Inc. (XNYS:PM)</v>
    <v>2</v>
    <v>24</v>
    <v>Finance</v>
    <v>25</v>
    <v>186.69</v>
    <v>100.8</v>
    <v>0.51649999999999996</v>
    <v>2.97</v>
    <v>1.6884E-2</v>
    <v>USD</v>
    <v>Philip Morris International Inc. is an international tobacco company. The Company’s product portfolio primarily consists of cigarettes and smoke-free products. Its smoke-free business (SFB) also includes wellness and healthcare products, as well as consumer accessories, such as lighters and matches. The Company’s segments include Europe Region; South and Southeast Asia, Commonwealth of Independent States, Middle East and Africa Region (SSEA, CIS &amp; MEA); East Asia, Australia &amp; PMI Global Travel Retail (EA, AU &amp; PMI GTR), and Americas Region. The Company's brands include Marlboro, HEETS, IQOS, IQOS ILUMA, TEREA, VEEV and ZYN. Its IQOS smoke-free product brand portfolio includes heated tobacco and nicotine-containing vapor products. Its international cigarette brands are Chesterfield, L&amp;M, and Philip Morris. It also owns a number of local cigarette brands, such as Dji Sam Soe and Sampoerna A in Indonesia, and Fortune and Jackpot in the Philippines.</v>
    <v>83100</v>
    <v>New York Stock Exchange</v>
    <v>XNYS</v>
    <v>XNYS</v>
    <v>677 Washington Blvd, Ste. 1100, STAMFORD, CT, 06901 US</v>
    <v>178.88</v>
    <v>Food &amp; Tobacco</v>
    <v>Stock</v>
    <v>45841.875000034372</v>
    <v>52</v>
    <v>175.3</v>
    <v>278429800000</v>
    <v>Philip Morris International Inc.</v>
    <v>Philip Morris International Inc.</v>
    <v>175.95</v>
    <v>27.674600000000002</v>
    <v>175.91</v>
    <v>178.88</v>
    <v>1556517000</v>
    <v>PM</v>
    <v>Philip Morris International Inc. (XNYS:PM)</v>
    <v>2734143</v>
    <v>5254442</v>
    <v>2007</v>
  </rv>
  <rv s="2">
    <v>117</v>
  </rv>
  <rv s="9">
    <v>en-US</v>
    <v>a1z11h</v>
    <v>268435456</v>
    <v>1</v>
    <v>Powered by Refinitiv</v>
    <v>23</v>
    <v>REALTY INCOME CORPORATION (XNYS:O)</v>
    <v>2</v>
    <v>24</v>
    <v>Finance</v>
    <v>25</v>
    <v>64.88</v>
    <v>50.71</v>
    <v>0.76549999999999996</v>
    <v>-7.0000000000000007E-2</v>
    <v>-1.212E-3</v>
    <v>USD</v>
    <v>Realty Income Corporation is a real estate investment trust. The Company is engaged in acquiring and managing freestanding commercial properties that generate rental revenue under long-term net lease agreements with its commercial clients. It is engaged in a single business activity, which is the leasing of property to clients, generally on a net basis. That business activity spans various geographic boundaries and includes property types and clients engaged in various industries. The Company owns or holds interests in approximately 15,621 properties located in all 50 United States (U.S.) states, the United Kingdom, France, Germany, Ireland, Italy, Portugal, and Spain with clients doing business in 89 industries. Its property types include retail, industrial, gaming and others, such as agriculture and office. Its primary industry concentrations include grocery stores, convenience stores, dollar stores, drug stores, home improvement, restaurants-quick service and others.</v>
    <v>468</v>
    <v>New York Stock Exchange</v>
    <v>XNYS</v>
    <v>XNYS</v>
    <v>11995 El Camino Real, SAN DIEGO, CA, 92130 US</v>
    <v>57.88</v>
    <v>Residential &amp; Commercial REIT</v>
    <v>Stock</v>
    <v>45841.875000010936</v>
    <v>55</v>
    <v>57.39</v>
    <v>52089650000</v>
    <v>REALTY INCOME CORPORATION</v>
    <v>REALTY INCOME CORPORATION</v>
    <v>57.72</v>
    <v>52.6143</v>
    <v>57.75</v>
    <v>57.68</v>
    <v>903080000</v>
    <v>O</v>
    <v>REALTY INCOME CORPORATION (XNYS:O)</v>
    <v>2942493</v>
    <v>5769759</v>
    <v>1997</v>
  </rv>
  <rv s="2">
    <v>119</v>
  </rv>
  <rv s="14">
    <v>en-US</v>
    <v>ccloyc</v>
    <v>268435456</v>
    <v>1</v>
    <v>Powered by Refinitiv</v>
    <v>35</v>
    <v>Roundhill I-100 0DTE CCS (BATS:QDTE)</v>
    <v>18</v>
    <v>36</v>
    <v>Finance</v>
    <v>37</v>
    <v>46.570700000000002</v>
    <v>29.260200000000001</v>
    <v>0.30499999999999999</v>
    <v>8.6809999999999995E-3</v>
    <v>USD</v>
    <v>CBOE BZX Exchange</v>
    <v>BATS</v>
    <v>9.7000000000000003E-3</v>
    <v>35.450000000000003</v>
    <v>ETF</v>
    <v>45841.875057892968</v>
    <v>35.28</v>
    <v>780270348.96000004</v>
    <v>Roundhill I-100 0DTE CCS</v>
    <v>35.29</v>
    <v>35.134999999999998</v>
    <v>35.44</v>
    <v>QDTE</v>
    <v>Roundhill I-100 0DTE CCS (BATS:QDTE)</v>
    <v>582672</v>
    <v>490579</v>
  </rv>
  <rv s="2">
    <v>121</v>
  </rv>
  <rv s="9">
    <v>en-US</v>
    <v>bwxxoc</v>
    <v>268435456</v>
    <v>1</v>
    <v>Powered by Refinitiv</v>
    <v>23</v>
    <v>SOFI TECHNOLOGIES, INC. (XNAS:SOFI)</v>
    <v>2</v>
    <v>24</v>
    <v>Finance</v>
    <v>25</v>
    <v>18.920000000000002</v>
    <v>6.01</v>
    <v>1.9201999999999999</v>
    <v>0.45</v>
    <v>2.4834000000000002E-2</v>
    <v>USD</v>
    <v>SoFi Technologies, Inc. is a member-centric, one-stop shop for digital financial services. The Company, through its lending and financial services products, allows members to borrow, save, spend, invest and protect their money. The Company's segments include Lending, Technology Platform and Financial Services. The Lending segment offers personal loans, student loans, home loans and related servicing to help its members with a variety of financial needs. Its platform supports the full transaction lifecycle, including credit application, underwriting, approval, funding and servicing. The Technology Platform segment provides services through a diversified suite of offerings which include an event and authorization platform accessed via application programming interfaces, a cloud-native digital and core banking platform and services related to both platforms. The Financial Services segment offers a suite of financial services solutions, including SoFi Money and SoFi Invest.</v>
    <v>5000</v>
    <v>Nasdaq Stock Market</v>
    <v>XNAS</v>
    <v>XNAS</v>
    <v>234 1st Street, SAN FRANCISCO, CA, 94105 US</v>
    <v>18.639900000000001</v>
    <v>Banking Services</v>
    <v>Stock</v>
    <v>45841.874936932814</v>
    <v>60</v>
    <v>18.079999999999998</v>
    <v>20526590000</v>
    <v>SOFI TECHNOLOGIES, INC.</v>
    <v>SOFI TECHNOLOGIES, INC.</v>
    <v>18.309999999999999</v>
    <v>43.322299999999998</v>
    <v>18.12</v>
    <v>18.57</v>
    <v>1105363000</v>
    <v>SOFI</v>
    <v>SOFI TECHNOLOGIES, INC. (XNAS:SOFI)</v>
    <v>44667703</v>
    <v>71928006</v>
    <v>2021</v>
  </rv>
  <rv s="2">
    <v>123</v>
  </rv>
  <rv s="13">
    <v>en-US</v>
    <v>a2wb8m</v>
    <v>268435456</v>
    <v>1</v>
    <v>Powered by Refinitiv</v>
    <v>33</v>
    <v>Sony Group Corporation (OTCM:SNEJF)</v>
    <v>14</v>
    <v>38</v>
    <v>Finance</v>
    <v>39</v>
    <v>28.06</v>
    <v>16.393999999999998</v>
    <v>0.89359999999999995</v>
    <v>-1.6859999999999999</v>
    <v>-6.2630000000000005E-2</v>
    <v>USD</v>
    <v>Sony Group Corp is a Japan-based company engaged in the games &amp; network services (G&amp;NS), music, movies, entertainment technology &amp; services (ET&amp;S), imaging &amp; sensing solutions (I&amp;SS) and other businesses. It has seven business segments. G&amp;NS segment is involved in network service business, the manufacture and sale of home video game consoles and software. The Music segment mainly includes music production, music publishing and video media platform businesses. The Movies segment mainly includes film production, television program production and media network businesses. The ET&amp;S field mainly includes the television business, audio, video business, still image, video camera business, smartphone business and Internet-related service business. The I&amp;SS segment mainly includes the image sensor business. The Financial segment is involved in the insurance business and banking business. The Other segment consists of activities such as disc manufacturing business and recording media business.</v>
    <v>112300</v>
    <v>OTC Markets</v>
    <v>OTCM</v>
    <v>OTCM</v>
    <v>1-7-1, Konan, MINATO-KU, TOKYO-TO, 108-0075 JP</v>
    <v>26.896000000000001</v>
    <v>65</v>
    <v>Computers, Phones &amp; Household Electronics</v>
    <v>Stock</v>
    <v>45841.881944444445</v>
    <v>66</v>
    <v>25.234000000000002</v>
    <v>22489860000000</v>
    <v>Sony Group Corporation</v>
    <v>Sony Group Corporation</v>
    <v>26.896000000000001</v>
    <v>21.381499999999999</v>
    <v>26.92</v>
    <v>25.234000000000002</v>
    <v>6149811000</v>
    <v>SNEJF</v>
    <v>Sony Group Corporation (OTCM:SNEJF)</v>
    <v>25478</v>
    <v>15301880</v>
    <v>1946</v>
  </rv>
  <rv s="2">
    <v>125</v>
  </rv>
  <rv s="9">
    <v>en-US</v>
    <v>a1wljc</v>
    <v>268435456</v>
    <v>1</v>
    <v>Powered by Refinitiv</v>
    <v>23</v>
    <v>THE COCA-COLA COMPANY (XNYS:KO)</v>
    <v>2</v>
    <v>24</v>
    <v>Finance</v>
    <v>25</v>
    <v>74.38</v>
    <v>60.615000000000002</v>
    <v>0.44080000000000003</v>
    <v>0.44</v>
    <v>6.2050000000000004E-3</v>
    <v>USD</v>
    <v>The Coca-Cola Company is a beverage company. The Company's segments include Europe, Middle East and Africa; Latin America; North America; Asia Pacific; Global Ventures; and Bottling Investments. It sells multiple brands across several beverage categories worldwide. Its portfolio of sparkling soft drink brands includes Coca-Cola, Sprite and Fanta. Its water, sports, coffee and tea brands include Dasani, smartwater, vitaminwater, Topo Chico, BODYARMOR, Powerade, Costa, Georgia, Fuze Tea, Gold Peak and Ayataka. Its juice, value-added dairy and plant-based beverage brands include Minute Maid, Simply, innocent, Del Valle, fairlife and AdeS. It operates in two lines of business: concentrate operations and finished product operations. Its concentrate operations sell beverage concentrates, syrups, including fountain syrups, and certain finished beverages to authorized bottling operations. Its finished product operations sell sparkling soft drinks and a variety of other finished beverages.</v>
    <v>69700</v>
    <v>New York Stock Exchange</v>
    <v>XNYS</v>
    <v>XNYS</v>
    <v>1 Coca Cola Plz NW, ATLANTA, GA, 30313-2420 US</v>
    <v>71.394999999999996</v>
    <v>Beverages</v>
    <v>Stock</v>
    <v>45841.875000010936</v>
    <v>69</v>
    <v>70.45</v>
    <v>307109400000</v>
    <v>THE COCA-COLA COMPANY</v>
    <v>THE COCA-COLA COMPANY</v>
    <v>71.040000000000006</v>
    <v>28.3917</v>
    <v>70.91</v>
    <v>71.349999999999994</v>
    <v>4304267000</v>
    <v>KO</v>
    <v>THE COCA-COLA COMPANY (XNYS:KO)</v>
    <v>9440457</v>
    <v>16272556</v>
    <v>1919</v>
  </rv>
  <rv s="2">
    <v>127</v>
  </rv>
  <rv s="9">
    <v>en-US</v>
    <v>a1zsjc</v>
    <v>268435456</v>
    <v>1</v>
    <v>Powered by Refinitiv</v>
    <v>23</v>
    <v>THE PROCTER &amp; GAMBLE COMPANY (XNYS:PG)</v>
    <v>2</v>
    <v>24</v>
    <v>Finance</v>
    <v>25</v>
    <v>180.43</v>
    <v>156.58000000000001</v>
    <v>0.37830000000000003</v>
    <v>-0.37</v>
    <v>-2.2950000000000002E-3</v>
    <v>USD</v>
    <v>The Procter &amp; Gamble Company is focused on providing branded consumer packaged goods to consumers across the world. The Company’s segments include Beauty, Grooming, Health Care, Fabric &amp; Home Care and Baby, Feminine &amp; Family Care. The Company’s products are sold in approximately 180 countries and territories primarily through mass merchandisers, e-commerce, including social commerce channels, grocery stores, membership club stores, drug stores, department stores, distributors, wholesalers, specialty beauty stores, including airport duty-free stores), high-frequency stores, pharmacies, electronics stores and professional channels. It also sells direct to individual consumers. It has operations in approximately 70 countries. It offers products under brands, such as Head &amp; Shoulders, Herbal Essences, Pantene, Rejoice, Olay, Old Spice, Safeguard, Secret, SK-II, Braun, Gillette, Venus, Crest, Oral-B, Ariel, Downy, Gain, Tide, Always, Always Discreet, Tampax, Bounty and others.</v>
    <v>108000</v>
    <v>New York Stock Exchange</v>
    <v>XNYS</v>
    <v>XNYS</v>
    <v>One Procter &amp; Gamble Plaza, CINCINNATI, OH, 45202 US</v>
    <v>162.02000000000001</v>
    <v>Personal &amp; Household Products &amp; Services</v>
    <v>Stock</v>
    <v>45841.875000010936</v>
    <v>72</v>
    <v>159.785</v>
    <v>377072700000</v>
    <v>THE PROCTER &amp; GAMBLE COMPANY</v>
    <v>THE PROCTER &amp; GAMBLE COMPANY</v>
    <v>161.79</v>
    <v>25.601900000000001</v>
    <v>161.19999999999999</v>
    <v>160.83000000000001</v>
    <v>2344542000</v>
    <v>PG</v>
    <v>THE PROCTER &amp; GAMBLE COMPANY (XNYS:PG)</v>
    <v>6999589</v>
    <v>8213586</v>
    <v>1905</v>
  </rv>
  <rv s="2">
    <v>129</v>
  </rv>
  <rv s="12">
    <v>en-US</v>
    <v>a22m27</v>
    <v>268435456</v>
    <v>1</v>
    <v>Powered by Refinitiv</v>
    <v>31</v>
    <v>Schwab Str:US Div Eq ETF (ARCX:SCHD)</v>
    <v>7</v>
    <v>32</v>
    <v>Finance</v>
    <v>30</v>
    <v>29.72</v>
    <v>23.87</v>
    <v>0.90510000000000002</v>
    <v>0.04</v>
    <v>1.4649999999999999E-3</v>
    <v>USD</v>
    <v>NYSE Arca</v>
    <v>ARCX</v>
    <v>5.9999999999999995E-4</v>
    <v>27.4</v>
    <v>ETF</v>
    <v>45841.875000022657</v>
    <v>75</v>
    <v>27.28</v>
    <v>69058924462.169998</v>
    <v>Schwab Str:US Div Eq ETF</v>
    <v>27.36</v>
    <v>27.31</v>
    <v>27.35</v>
    <v>SCHD</v>
    <v>Schwab Str:US Div Eq ETF (ARCX:SCHD)</v>
    <v>8818656</v>
    <v>16232849</v>
  </rv>
  <rv s="2">
    <v>131</v>
  </rv>
  <rv s="12">
    <v>en-US</v>
    <v>a25hm7</v>
    <v>268435456</v>
    <v>1</v>
    <v>Powered by Refinitiv</v>
    <v>31</v>
    <v>Vanguard 500 Idx;ETF (ARCX:VOO)</v>
    <v>7</v>
    <v>32</v>
    <v>Finance</v>
    <v>30</v>
    <v>575.66999999999996</v>
    <v>442.8</v>
    <v>1.0002</v>
    <v>4.93</v>
    <v>8.6449999999999999E-3</v>
    <v>USD</v>
    <v>NYSE Arca</v>
    <v>ARCX</v>
    <v>2.9999999999999997E-4</v>
    <v>575.66999999999996</v>
    <v>ETF</v>
    <v>45841.875000034372</v>
    <v>78</v>
    <v>572.13</v>
    <v>656847966641</v>
    <v>Vanguard 500 Idx;ETF</v>
    <v>572.17999999999995</v>
    <v>570.29</v>
    <v>575.22</v>
    <v>VOO</v>
    <v>Vanguard 500 Idx;ETF (ARCX:VOO)</v>
    <v>4836962</v>
    <v>7218113</v>
  </rv>
  <rv s="2">
    <v>133</v>
  </rv>
  <rv s="12">
    <v>en-US</v>
    <v>a25nhw</v>
    <v>268435456</v>
    <v>1</v>
    <v>Powered by Refinitiv</v>
    <v>31</v>
    <v>Vanguard EM St I;ETF (ARCX:VWO)</v>
    <v>7</v>
    <v>32</v>
    <v>Finance</v>
    <v>30</v>
    <v>50.055</v>
    <v>39.53</v>
    <v>0.8911</v>
    <v>0.22</v>
    <v>4.4180000000000001E-3</v>
    <v>USD</v>
    <v>NYSE Arca</v>
    <v>ARCX</v>
    <v>7.000000000000001E-4</v>
    <v>50.055</v>
    <v>ETF</v>
    <v>45841.875000022657</v>
    <v>81</v>
    <v>49.844999999999999</v>
    <v>85142957154</v>
    <v>Vanguard EM St I;ETF</v>
    <v>49.86</v>
    <v>49.8</v>
    <v>50.02</v>
    <v>VWO</v>
    <v>Vanguard EM St I;ETF (ARCX:VWO)</v>
    <v>5099624</v>
    <v>9311677</v>
  </rv>
  <rv s="2">
    <v>135</v>
  </rv>
  <rv s="12">
    <v>en-US</v>
    <v>a25mim</v>
    <v>268435456</v>
    <v>1</v>
    <v>Powered by Refinitiv</v>
    <v>31</v>
    <v>Vanguard Rus 2000 Id;ETF (XNAS:VTWO)</v>
    <v>7</v>
    <v>32</v>
    <v>Finance</v>
    <v>30</v>
    <v>99.12</v>
    <v>69.38</v>
    <v>0.99980000000000002</v>
    <v>0.83</v>
    <v>9.2889999999999986E-3</v>
    <v>USD</v>
    <v>Nasdaq Stock Market</v>
    <v>XNAS</v>
    <v>7.000000000000001E-4</v>
    <v>90.28</v>
    <v>ETF</v>
    <v>45841.868425034372</v>
    <v>84</v>
    <v>89.66</v>
    <v>12603380551.860001</v>
    <v>Vanguard Rus 2000 Id;ETF</v>
    <v>89.75</v>
    <v>89.35</v>
    <v>90.18</v>
    <v>VTWO</v>
    <v>Vanguard Rus 2000 Id;ETF (XNAS:VTWO)</v>
    <v>1742091</v>
    <v>1788723</v>
  </rv>
  <rv s="2">
    <v>137</v>
  </rv>
  <rv s="15">
    <v>0</v>
  </rv>
  <rv s="16">
    <v>{924D4304-3553-624B-8576-3647CC2FA27C}</v>
    <v>0</v>
    <v>22</v>
    <v>139</v>
  </rv>
</rvData>
</file>

<file path=xl/richData/rdrichvaluestructure.xml><?xml version="1.0" encoding="utf-8"?>
<rvStructures xmlns="http://schemas.microsoft.com/office/spreadsheetml/2017/richdata" count="17">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Change"/>
    <k n="Change % (Extended hours)"/>
    <k n="Change (%)"/>
    <k n="Change (Extended hours)"/>
    <k n="Currency" t="s"/>
    <k n="Exchange" t="s"/>
    <k n="Exchange abbreviation" t="s"/>
    <k n="High"/>
    <k n="Instrument type" t="s"/>
    <k n="Last trade time"/>
    <k n="LearnMoreOnLink" t="r"/>
    <k n="Low"/>
    <k n="Name" t="s"/>
    <k n="Open"/>
    <k n="Previous close"/>
    <k n="Price"/>
    <k n="Price (Extended hours)"/>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Exchange" t="s"/>
    <k n="Exchange abbreviation" t="s"/>
    <k n="Expense ratio"/>
    <k n="High"/>
    <k n="Instrument type" t="s"/>
    <k n="Last trade time"/>
    <k n="LearnMoreOnLink" t="r"/>
    <k n="Low"/>
    <k n="Market cap"/>
    <k n="Name" t="s"/>
    <k n="Open"/>
    <k n="Previous close"/>
    <k n="Price"/>
    <k n="Price (Extended hours)"/>
    <k n="Ticker symbol" t="s"/>
    <k n="UniqueName" t="s"/>
    <k n="Volume"/>
    <k n="Volume average"/>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Extended hours)"/>
    <k n="Change (%)"/>
    <k n="Change (Extended hours)"/>
    <k n="Currency" t="s"/>
    <k n="Exchange" t="s"/>
    <k n="Exchange abbreviation" t="s"/>
    <k n="Expense ratio"/>
    <k n="High"/>
    <k n="Instrument type" t="s"/>
    <k n="Last trade time"/>
    <k n="Low"/>
    <k n="Market cap"/>
    <k n="Name" t="s"/>
    <k n="Open"/>
    <k n="Previous close"/>
    <k n="Price"/>
    <k n="Price (Extended hours)"/>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High"/>
    <k n="Instrument type" t="s"/>
    <k n="Last trade time"/>
    <k n="LearnMoreOnLink" t="r"/>
    <k n="Low"/>
    <k n="Name" t="s"/>
    <k n="Open"/>
    <k n="Previous close"/>
    <k n="Price"/>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pense ratio"/>
    <k n="High"/>
    <k n="Instrument type" t="s"/>
    <k n="Last trade time"/>
    <k n="Low"/>
    <k n="Market cap"/>
    <k n="Name" t="s"/>
    <k n="Open"/>
    <k n="Previous close"/>
    <k n="Price"/>
    <k n="Ticker symbol" t="s"/>
    <k n="UniqueName" t="s"/>
    <k n="Volume"/>
    <k n="Volume average"/>
  </s>
  <s t="_array">
    <k n="array" t="a"/>
  </s>
  <s t="_datasourcecontainer">
    <k n="%XLUID" t="s"/>
    <k n="_CRID" t="i"/>
    <k n="_Display" t="spb"/>
    <k n="Column1" t="r"/>
  </s>
</rvStructures>
</file>

<file path=xl/richData/rdsupportingpropertybag.xml><?xml version="1.0" encoding="utf-8"?>
<supportingPropertyBags xmlns="http://schemas.microsoft.com/office/spreadsheetml/2017/richdata2">
  <spbArrays count="12">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34">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Instrument type</v>
      <v t="s">_Flags</v>
      <v t="s">UniqueName</v>
      <v t="s">_DisplayString</v>
      <v t="s">LearnMoreOnLink</v>
      <v t="s">%ProviderInfo</v>
    </a>
    <a count="37">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Expense ratio</v>
      <v t="s">Change (%)</v>
      <v t="s">Change % (Extended hours)</v>
      <v t="s">Currency</v>
      <v t="s">Previous close</v>
      <v t="s">Open</v>
      <v t="s">High</v>
      <v t="s">Low</v>
      <v t="s">52 week high</v>
      <v t="s">52 week low</v>
      <v t="s">Volume</v>
      <v t="s">Volume average</v>
      <v t="s">Market cap</v>
      <v t="s">Beta</v>
      <v t="s">Instrument type</v>
      <v t="s">_Flags</v>
      <v t="s">UniqueName</v>
      <v t="s">_DisplayString</v>
      <v t="s">LearnMoreOnLink</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35">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Expense ratio</v>
      <v t="s">Change (%)</v>
      <v t="s">Change % (Extended hours)</v>
      <v t="s">Currency</v>
      <v t="s">Previous close</v>
      <v t="s">Open</v>
      <v t="s">High</v>
      <v t="s">Low</v>
      <v t="s">52 week high</v>
      <v t="s">52 week low</v>
      <v t="s">Volume</v>
      <v t="s">Volume average</v>
      <v t="s">Market cap</v>
      <v t="s">Instrument type</v>
      <v t="s">_Flags</v>
      <v t="s">UniqueName</v>
      <v t="s">_DisplayString</v>
      <v t="s">%ProviderInfo</v>
    </a>
    <a count="4">
      <v t="s">Column1</v>
      <v t="s">_CRID</v>
      <v t="s">%XLUID</v>
      <v t="s">_Display</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31">
      <v t="s">%EntityServiceId</v>
      <v t="s">_Format</v>
      <v t="s">%IsRefreshable</v>
      <v t="s">%EntityCulture</v>
      <v t="s">%EntityId</v>
      <v t="s">_Icon</v>
      <v t="s">_Display</v>
      <v t="s">Name</v>
      <v t="s">_SubLabel</v>
      <v t="s">Price</v>
      <v t="s">Exchange</v>
      <v t="s">Last trade time</v>
      <v t="s">Ticker symbol</v>
      <v t="s">Exchange abbreviation</v>
      <v t="s">Change</v>
      <v t="s">Change (%)</v>
      <v t="s">Currency</v>
      <v t="s">Previous close</v>
      <v t="s">Open</v>
      <v t="s">High</v>
      <v t="s">Low</v>
      <v t="s">52 week high</v>
      <v t="s">52 week low</v>
      <v t="s">Volume</v>
      <v t="s">Volume average</v>
      <v t="s">Instrument type</v>
      <v t="s">_Flags</v>
      <v t="s">UniqueName</v>
      <v t="s">_DisplayString</v>
      <v t="s">LearnMoreOnLink</v>
      <v t="s">%ProviderInfo</v>
    </a>
    <a count="34">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LearnMoreOnLink</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32">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Instrument type</v>
      <v t="s">_Flags</v>
      <v t="s">UniqueName</v>
      <v t="s">_DisplayString</v>
      <v t="s">%ProviderInfo</v>
    </a>
  </spbArrays>
  <spbData count="40">
    <spb s="0">
      <v>0</v>
      <v>Name</v>
      <v>LearnMoreOnLink</v>
    </spb>
    <spb s="1">
      <v>0</v>
      <v>0</v>
      <v>0</v>
    </spb>
    <spb s="2">
      <v>1</v>
      <v>1</v>
      <v>1</v>
      <v>1</v>
    </spb>
    <spb s="3">
      <v>1</v>
      <v>2</v>
      <v>2</v>
      <v>1</v>
      <v>3</v>
      <v>1</v>
      <v>1</v>
      <v>1</v>
      <v>4</v>
      <v>4</v>
      <v>5</v>
      <v>6</v>
      <v>1</v>
      <v>1</v>
      <v>1</v>
      <v>4</v>
      <v>7</v>
      <v>8</v>
      <v>9</v>
      <v>4</v>
      <v>1</v>
      <v>1</v>
      <v>5</v>
    </spb>
    <spb s="4">
      <v>at close</v>
      <v>from previous close</v>
      <v>from previous close</v>
      <v>Source: Nasdaq Last Sale</v>
      <v>GMT</v>
      <v>Real-Time Nasdaq Last Sale</v>
      <v>from close</v>
      <v>from close</v>
    </spb>
    <spb s="4">
      <v>at close</v>
      <v>from previous close</v>
      <v>from previous close</v>
      <v>Source: Nasdaq</v>
      <v>GMT</v>
      <v>Delayed 15 minutes</v>
      <v>from close</v>
      <v>from close</v>
    </spb>
    <spb s="0">
      <v>1</v>
      <v>Name</v>
      <v>LearnMoreOnLink</v>
    </spb>
    <spb s="5">
      <v>1</v>
      <v>1</v>
      <v>1</v>
    </spb>
    <spb s="6">
      <v>1</v>
      <v>1</v>
      <v>3</v>
      <v>1</v>
      <v>1</v>
      <v>1</v>
      <v>4</v>
      <v>5</v>
      <v>1</v>
      <v>1</v>
      <v>1</v>
      <v>4</v>
      <v>7</v>
      <v>9</v>
      <v>1</v>
      <v>1</v>
      <v>5</v>
    </spb>
    <spb s="7">
      <v>at close</v>
      <v>from previous close</v>
      <v>Source: Nasdaq Last Sale</v>
      <v>from previous close</v>
      <v>GMT</v>
      <v>Real-Time Nasdaq Last Sale</v>
      <v>from close</v>
      <v>from close</v>
    </spb>
    <spb s="0">
      <v>2</v>
      <v>Name</v>
      <v>LearnMoreOnLink</v>
    </spb>
    <spb s="8">
      <v>1</v>
      <v>2</v>
      <v>1</v>
      <v>3</v>
      <v>1</v>
      <v>1</v>
      <v>1</v>
      <v>4</v>
      <v>5</v>
      <v>6</v>
      <v>1</v>
      <v>1</v>
      <v>5</v>
      <v>1</v>
      <v>4</v>
      <v>7</v>
      <v>9</v>
      <v>1</v>
      <v>1</v>
      <v>5</v>
    </spb>
    <spb s="0">
      <v>3</v>
      <v>Name</v>
      <v>LearnMoreOnLink</v>
    </spb>
    <spb s="9">
      <v>0</v>
      <v>0</v>
    </spb>
    <spb s="10">
      <v>13</v>
      <v>1</v>
      <v>1</v>
      <v>1</v>
      <v>1</v>
    </spb>
    <spb s="11">
      <v>1</v>
      <v>2</v>
      <v>2</v>
      <v>1</v>
      <v>3</v>
      <v>1</v>
      <v>10</v>
      <v>1</v>
      <v>1</v>
      <v>4</v>
      <v>4</v>
      <v>5</v>
      <v>6</v>
      <v>1</v>
      <v>1</v>
      <v>1</v>
      <v>4</v>
      <v>7</v>
      <v>8</v>
      <v>9</v>
      <v>4</v>
      <v>1</v>
      <v>1</v>
      <v>5</v>
    </spb>
    <spb s="12">
      <v>Powered by Refinitiv</v>
    </spb>
    <spb s="13">
      <v>4</v>
      <v>Name</v>
    </spb>
    <spb s="14">
      <v>1</v>
      <v>1</v>
    </spb>
    <spb s="15">
      <v>1</v>
      <v>1</v>
      <v>3</v>
      <v>1</v>
      <v>1</v>
      <v>1</v>
      <v>4</v>
      <v>5</v>
      <v>6</v>
      <v>1</v>
      <v>1</v>
      <v>5</v>
      <v>1</v>
      <v>4</v>
      <v>7</v>
      <v>9</v>
      <v>1</v>
      <v>1</v>
      <v>5</v>
    </spb>
    <spb s="11">
      <v>1</v>
      <v>2</v>
      <v>2</v>
      <v>1</v>
      <v>3</v>
      <v>1</v>
      <v>10</v>
      <v>1</v>
      <v>1</v>
      <v>4</v>
      <v>4</v>
      <v>5</v>
      <v>11</v>
      <v>1</v>
      <v>1</v>
      <v>1</v>
      <v>4</v>
      <v>7</v>
      <v>8</v>
      <v>9</v>
      <v>4</v>
      <v>1</v>
      <v>1</v>
      <v>5</v>
    </spb>
    <spb s="16">
      <v>at close</v>
      <v>from previous close</v>
      <v>from previous close</v>
      <v>GMT</v>
      <v>Delayed 15 minutes</v>
      <v>from close</v>
      <v>from close</v>
    </spb>
    <spb s="17">
      <v>5</v>
    </spb>
    <spb s="0">
      <v>6</v>
      <v>Name</v>
      <v>LearnMoreOnLink</v>
    </spb>
    <spb s="18">
      <v>1</v>
      <v>2</v>
      <v>2</v>
      <v>1</v>
      <v>3</v>
      <v>1</v>
      <v>1</v>
      <v>1</v>
      <v>4</v>
      <v>4</v>
      <v>5</v>
      <v>6</v>
      <v>1</v>
      <v>1</v>
      <v>1</v>
      <v>4</v>
      <v>7</v>
      <v>8</v>
      <v>9</v>
      <v>4</v>
    </spb>
    <spb s="19">
      <v>Delayed 15 minutes</v>
      <v>from previous close</v>
      <v>from previous close</v>
      <v>Source: Nasdaq</v>
      <v>GMT</v>
    </spb>
    <spb s="0">
      <v>7</v>
      <v>Name</v>
      <v>LearnMoreOnLink</v>
    </spb>
    <spb s="20">
      <v>1</v>
      <v>2</v>
      <v>1</v>
      <v>3</v>
      <v>1</v>
      <v>1</v>
      <v>1</v>
      <v>4</v>
      <v>4</v>
      <v>5</v>
      <v>6</v>
      <v>1</v>
      <v>1</v>
      <v>1</v>
      <v>4</v>
      <v>7</v>
      <v>8</v>
      <v>9</v>
      <v>4</v>
    </spb>
    <spb s="0">
      <v>8</v>
      <v>Name</v>
      <v>LearnMoreOnLink</v>
    </spb>
    <spb s="21">
      <v>1</v>
      <v>1</v>
      <v>3</v>
      <v>1</v>
      <v>1</v>
      <v>1</v>
      <v>4</v>
      <v>5</v>
      <v>1</v>
      <v>1</v>
      <v>1</v>
      <v>4</v>
      <v>7</v>
      <v>9</v>
    </spb>
    <spb s="22">
      <v>Delayed 15 minutes</v>
      <v>from previous close</v>
      <v>Source: Nasdaq</v>
      <v>from previous close</v>
      <v>GMT</v>
    </spb>
    <spb s="0">
      <v>9</v>
      <v>Name</v>
      <v>LearnMoreOnLink</v>
    </spb>
    <spb s="23">
      <v>1</v>
      <v>2</v>
      <v>1</v>
      <v>3</v>
      <v>1</v>
      <v>1</v>
      <v>1</v>
      <v>4</v>
      <v>5</v>
      <v>6</v>
      <v>1</v>
      <v>1</v>
      <v>5</v>
      <v>1</v>
      <v>4</v>
      <v>7</v>
      <v>9</v>
    </spb>
    <spb s="0">
      <v>10</v>
      <v>Name</v>
      <v>LearnMoreOnLink</v>
    </spb>
    <spb s="24">
      <v>1</v>
      <v>2</v>
      <v>2</v>
      <v>1</v>
      <v>3</v>
      <v>1</v>
      <v>10</v>
      <v>1</v>
      <v>1</v>
      <v>4</v>
      <v>4</v>
      <v>5</v>
      <v>6</v>
      <v>1</v>
      <v>1</v>
      <v>1</v>
      <v>4</v>
      <v>7</v>
      <v>8</v>
      <v>9</v>
      <v>4</v>
    </spb>
    <spb s="13">
      <v>11</v>
      <v>Name</v>
    </spb>
    <spb s="25">
      <v>1</v>
      <v>1</v>
      <v>3</v>
      <v>1</v>
      <v>1</v>
      <v>1</v>
      <v>4</v>
      <v>5</v>
      <v>6</v>
      <v>1</v>
      <v>1</v>
      <v>5</v>
      <v>1</v>
      <v>4</v>
      <v>7</v>
      <v>9</v>
    </spb>
    <spb s="26">
      <v>BATS BZX Real-Time Last Price</v>
      <v>from previous close</v>
      <v>from previous close</v>
      <v>GMT</v>
    </spb>
    <spb s="24">
      <v>1</v>
      <v>2</v>
      <v>2</v>
      <v>1</v>
      <v>3</v>
      <v>1</v>
      <v>10</v>
      <v>1</v>
      <v>1</v>
      <v>4</v>
      <v>4</v>
      <v>5</v>
      <v>12</v>
      <v>1</v>
      <v>1</v>
      <v>1</v>
      <v>4</v>
      <v>7</v>
      <v>8</v>
      <v>9</v>
      <v>4</v>
    </spb>
    <spb s="26">
      <v>Delayed 15 minutes</v>
      <v>from previous close</v>
      <v>from previous close</v>
      <v>GMT</v>
    </spb>
  </spbData>
</supportingPropertyBags>
</file>

<file path=xl/richData/rdsupportingpropertybagstructure.xml><?xml version="1.0" encoding="utf-8"?>
<spbStructures xmlns="http://schemas.microsoft.com/office/spreadsheetml/2017/richdata2" count="27">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UniqueName" t="spb"/>
    <k n="`%ProviderInfo" t="spb"/>
    <k n="LearnMoreOnLink" t="spb"/>
  </s>
  <s>
    <k n="Low" t="i"/>
    <k n="High" t="i"/>
    <k n="Name" t="i"/>
    <k n="Open" t="i"/>
    <k n="Price" t="i"/>
    <k n="Change" t="i"/>
    <k n="Volume" t="i"/>
    <k n="Change (%)" t="i"/>
    <k n="52 week low" t="i"/>
    <k n="52 week high" t="i"/>
    <k n="Previous close" t="i"/>
    <k n="Volume average" t="i"/>
    <k n="Last trade time" t="i"/>
    <k n="`%EntityServiceId" t="i"/>
    <k n="Price (Extended hours)" t="i"/>
    <k n="Change (Extended hours)" t="i"/>
    <k n="Change % (Extended hours)" t="i"/>
  </s>
  <s>
    <k n="Price" t="s"/>
    <k n="Change" t="s"/>
    <k n="Exchange" t="s"/>
    <k n="Change (%)" t="s"/>
    <k n="Last trade time" t="s"/>
    <k n="Price (Extended hours)" t="s"/>
    <k n="Change (Extended hours)" t="s"/>
    <k n="Change % (Extended hours)" t="s"/>
  </s>
  <s>
    <k n="Low" t="i"/>
    <k n="Beta" t="i"/>
    <k n="High" t="i"/>
    <k n="Name" t="i"/>
    <k n="Open" t="i"/>
    <k n="Price" t="i"/>
    <k n="Change" t="i"/>
    <k n="Volume" t="i"/>
    <k n="Change (%)" t="i"/>
    <k n="Market cap" t="i"/>
    <k n="52 week low" t="i"/>
    <k n="52 week high" t="i"/>
    <k n="Expense ratio" t="i"/>
    <k n="Previous close" t="i"/>
    <k n="Volume average" t="i"/>
    <k n="Last trade time" t="i"/>
    <k n="`%EntityServiceId" t="i"/>
    <k n="Price (Extended hours)" t="i"/>
    <k n="Change (Extended hours)" t="i"/>
    <k n="Change % (Extended hours)"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
    <k n="^Order" t="spba"/>
    <k n="TitleProperty" t="s"/>
  </s>
  <s>
    <k n="UniqueName" t="spb"/>
    <k n="`%ProviderInfo" t="spb"/>
  </s>
  <s>
    <k n="Low" t="i"/>
    <k n="High" t="i"/>
    <k n="Name" t="i"/>
    <k n="Open" t="i"/>
    <k n="Price" t="i"/>
    <k n="Change" t="i"/>
    <k n="Volume" t="i"/>
    <k n="Change (%)" t="i"/>
    <k n="Market cap" t="i"/>
    <k n="52 week low" t="i"/>
    <k n="52 week high" t="i"/>
    <k n="Expense ratio" t="i"/>
    <k n="Previous close" t="i"/>
    <k n="Volume average" t="i"/>
    <k n="Last trade time" t="i"/>
    <k n="`%EntityServiceId" t="i"/>
    <k n="Price (Extended hours)" t="i"/>
    <k n="Change (Extended hours)" t="i"/>
    <k n="Change % (Extended hours)" t="i"/>
  </s>
  <s>
    <k n="Price" t="s"/>
    <k n="Change" t="s"/>
    <k n="Change (%)" t="s"/>
    <k n="Last trade time" t="s"/>
    <k n="Price (Extended hours)" t="s"/>
    <k n="Change (Extended hours)" t="s"/>
    <k n="Change % (Extended hours)" t="s"/>
  </s>
  <s>
    <k n="^Order" t="spba"/>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High" t="i"/>
    <k n="Name" t="i"/>
    <k n="Open" t="i"/>
    <k n="Price" t="i"/>
    <k n="Change" t="i"/>
    <k n="Volume" t="i"/>
    <k n="Change (%)" t="i"/>
    <k n="52 week low" t="i"/>
    <k n="52 week high" t="i"/>
    <k n="Previous close" t="i"/>
    <k n="Volume average" t="i"/>
    <k n="Last trade time" t="i"/>
    <k n="`%EntityServiceId" t="i"/>
  </s>
  <s>
    <k n="Price" t="s"/>
    <k n="Change" t="s"/>
    <k n="Exchange" t="s"/>
    <k n="Change (%)" t="s"/>
    <k n="Last trade time" t="s"/>
  </s>
  <s>
    <k n="Low" t="i"/>
    <k n="Beta" t="i"/>
    <k n="High" t="i"/>
    <k n="Name" t="i"/>
    <k n="Open" t="i"/>
    <k n="Price" t="i"/>
    <k n="Change" t="i"/>
    <k n="Volume" t="i"/>
    <k n="Change (%)" t="i"/>
    <k n="Market cap" t="i"/>
    <k n="52 week low" t="i"/>
    <k n="52 week high" t="i"/>
    <k n="Expense ratio" t="i"/>
    <k n="Previous close" t="i"/>
    <k n="Volume average" t="i"/>
    <k n="Last trade time" t="i"/>
    <k n="`%EntityServiceId" t="i"/>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Low" t="i"/>
    <k n="High" t="i"/>
    <k n="Name" t="i"/>
    <k n="Open" t="i"/>
    <k n="Price" t="i"/>
    <k n="Change" t="i"/>
    <k n="Volume" t="i"/>
    <k n="Change (%)" t="i"/>
    <k n="Market cap" t="i"/>
    <k n="52 week low" t="i"/>
    <k n="52 week high" t="i"/>
    <k n="Expense ratio" t="i"/>
    <k n="Previous close" t="i"/>
    <k n="Volume average" t="i"/>
    <k n="Last trade time" t="i"/>
    <k n="`%EntityServiceId"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rpv i="2">1</rpv>
    </rSty>
    <rSty dxfid="1">
      <rpv i="0">_-[$¥-ja-JP]* #,##0_-;-[$¥-ja-JP]* #,##0_-;_-[$¥-ja-JP]* "-"_-;_-@_-</rpv>
    </rSty>
    <rSty dxfid="1">
      <rpv i="0">_([$¥-ja-JP]* #,##0_);_([$¥-ja-JP]* (#,##0);_([$¥-ja-JP]* "-"_);_(@_)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032E56-7C4C-5144-B5BE-CFC4CBB04232}" name="Portfolio" displayName="Portfolio" ref="A3:K30" headerRowCount="0" totalsRowCount="1" headerRowCellStyle="Heading 2" dataCellStyle="Heading 2">
  <sortState xmlns:xlrd2="http://schemas.microsoft.com/office/spreadsheetml/2017/richdata2" ref="A4:J29">
    <sortCondition descending="1" ref="J2:J29"/>
  </sortState>
  <tableColumns count="11">
    <tableColumn id="1" xr3:uid="{3A83E115-BD47-1241-AC4D-965229367C3E}" name="Column1" totalsRowLabel="NET GAIN/LOSS:" totalsRowDxfId="10" dataCellStyle="Heading 2"/>
    <tableColumn id="2" xr3:uid="{5B3D5FE5-360F-FA4A-A5DD-03BD4339FB14}" name="Column2" totalsRowFunction="custom" totalsRowDxfId="9" dataCellStyle="Heading 2">
      <totalsRowFormula>SUM(H4:H29)</totalsRowFormula>
    </tableColumn>
    <tableColumn id="3" xr3:uid="{FDDC0265-3811-5242-A2A4-CA8AE79D1800}" name="Column3" totalsRowDxfId="8" dataCellStyle="Heading 2"/>
    <tableColumn id="4" xr3:uid="{3F5DDD3B-0C98-8549-B60E-7E9812A9D7E9}" name="Column4" totalsRowDxfId="7" dataCellStyle="Heading 2"/>
    <tableColumn id="5" xr3:uid="{3E4DBE53-3EBA-A84F-9055-4D4EFFDDBDEA}" name="Column5" totalsRowDxfId="6" dataCellStyle="Heading 2"/>
    <tableColumn id="6" xr3:uid="{B5861F6F-E614-194F-8CC0-C3966439E492}" name="Column6" totalsRowDxfId="5" dataCellStyle="Heading 2"/>
    <tableColumn id="7" xr3:uid="{6775C24E-7C75-AF4C-956A-60C4FABCE797}" name="Column7" totalsRowDxfId="4" dataCellStyle="Heading 2"/>
    <tableColumn id="8" xr3:uid="{1A68A033-829B-7547-B64A-C9CA0B27A41E}" name="Column8" totalsRowDxfId="3" dataCellStyle="Heading 2"/>
    <tableColumn id="9" xr3:uid="{03CCEF5A-DBC0-2F4D-9487-5B588C87BDEC}" name="Column9" totalsRowDxfId="2" dataCellStyle="Heading 2"/>
    <tableColumn id="10" xr3:uid="{2D8A57E2-F817-2F49-85FE-7DCB07FDF2AE}" name="Column10" totalsRowDxfId="1" dataCellStyle="Heading 2"/>
    <tableColumn id="12" xr3:uid="{A4CD3A38-5B81-F144-9FFC-5069FBE32B5A}" name="Column11" totalsRowDxfId="0" headerRowCellStyle="Heading 2" dataCellStyle="Heading 2"/>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robinhood.com/" TargetMode="External"/><Relationship Id="rId6" Type="http://schemas.openxmlformats.org/officeDocument/2006/relationships/comments" Target="../comments1.xml"/><Relationship Id="rId5" Type="http://schemas.openxmlformats.org/officeDocument/2006/relationships/table" Target="../tables/table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70282-4CFC-E44B-8583-6E3238D87405}">
  <sheetPr codeName="Sheet1">
    <pageSetUpPr fitToPage="1"/>
  </sheetPr>
  <dimension ref="A1:D26"/>
  <sheetViews>
    <sheetView zoomScaleNormal="100" workbookViewId="0">
      <pane xSplit="4" topLeftCell="F1" activePane="topRight" state="frozen"/>
      <selection pane="topRight" activeCell="F28" sqref="F28"/>
      <selection activeCell="A28" sqref="A28"/>
    </sheetView>
  </sheetViews>
  <sheetFormatPr defaultColWidth="11" defaultRowHeight="15.75"/>
  <cols>
    <col min="1" max="1" width="3.625" bestFit="1" customWidth="1"/>
    <col min="2" max="2" width="24.875" bestFit="1" customWidth="1"/>
    <col min="3" max="3" width="59.875" bestFit="1" customWidth="1"/>
    <col min="4" max="4" width="27.25" bestFit="1" customWidth="1"/>
  </cols>
  <sheetData>
    <row r="1" spans="1:4" ht="18.75" thickBot="1">
      <c r="A1" s="25" t="s">
        <v>0</v>
      </c>
      <c r="B1" s="26" t="s">
        <v>1</v>
      </c>
      <c r="C1" s="26" t="s">
        <v>2</v>
      </c>
      <c r="D1" s="26" t="s">
        <v>3</v>
      </c>
    </row>
    <row r="2" spans="1:4" ht="18.75" thickTop="1">
      <c r="A2" s="27">
        <v>1</v>
      </c>
      <c r="B2" s="28" t="s">
        <v>4</v>
      </c>
      <c r="C2" s="28" t="s">
        <v>5</v>
      </c>
      <c r="D2" s="28" t="s">
        <v>6</v>
      </c>
    </row>
    <row r="3" spans="1:4" ht="18">
      <c r="A3" s="27">
        <v>2</v>
      </c>
      <c r="B3" s="28" t="s">
        <v>7</v>
      </c>
      <c r="C3" s="28" t="s">
        <v>8</v>
      </c>
      <c r="D3" s="28" t="s">
        <v>9</v>
      </c>
    </row>
    <row r="4" spans="1:4" ht="18">
      <c r="A4" s="27">
        <v>3</v>
      </c>
      <c r="B4" s="28" t="s">
        <v>10</v>
      </c>
      <c r="C4" s="28" t="s">
        <v>11</v>
      </c>
      <c r="D4" s="28" t="s">
        <v>12</v>
      </c>
    </row>
    <row r="5" spans="1:4" ht="18">
      <c r="A5" s="27">
        <v>4</v>
      </c>
      <c r="B5" s="28" t="s">
        <v>13</v>
      </c>
      <c r="C5" s="28" t="s">
        <v>14</v>
      </c>
      <c r="D5" s="28" t="s">
        <v>15</v>
      </c>
    </row>
    <row r="6" spans="1:4" ht="18">
      <c r="A6" s="27">
        <v>5</v>
      </c>
      <c r="B6" s="28" t="s">
        <v>16</v>
      </c>
      <c r="C6" s="28" t="s">
        <v>17</v>
      </c>
      <c r="D6" s="28" t="s">
        <v>18</v>
      </c>
    </row>
    <row r="7" spans="1:4" ht="18">
      <c r="A7" s="27">
        <v>6</v>
      </c>
      <c r="B7" s="28" t="s">
        <v>19</v>
      </c>
      <c r="C7" s="28" t="s">
        <v>20</v>
      </c>
      <c r="D7" s="28" t="s">
        <v>21</v>
      </c>
    </row>
    <row r="8" spans="1:4" ht="18">
      <c r="A8" s="27">
        <v>7</v>
      </c>
      <c r="B8" s="28" t="s">
        <v>22</v>
      </c>
      <c r="C8" s="28" t="s">
        <v>23</v>
      </c>
      <c r="D8" s="28" t="s">
        <v>24</v>
      </c>
    </row>
    <row r="9" spans="1:4" ht="18">
      <c r="A9" s="27">
        <v>8</v>
      </c>
      <c r="B9" s="28" t="s">
        <v>25</v>
      </c>
      <c r="C9" s="28" t="s">
        <v>26</v>
      </c>
      <c r="D9" s="28" t="s">
        <v>18</v>
      </c>
    </row>
    <row r="10" spans="1:4" ht="18">
      <c r="A10" s="27">
        <v>9</v>
      </c>
      <c r="B10" s="28" t="s">
        <v>27</v>
      </c>
      <c r="C10" s="28" t="s">
        <v>28</v>
      </c>
      <c r="D10" s="28" t="s">
        <v>29</v>
      </c>
    </row>
    <row r="11" spans="1:4" ht="18">
      <c r="A11" s="27">
        <v>10</v>
      </c>
      <c r="B11" s="28" t="s">
        <v>30</v>
      </c>
      <c r="C11" s="28" t="s">
        <v>31</v>
      </c>
      <c r="D11" s="28" t="s">
        <v>32</v>
      </c>
    </row>
    <row r="12" spans="1:4" ht="18">
      <c r="A12" s="27">
        <v>11</v>
      </c>
      <c r="B12" s="28" t="s">
        <v>33</v>
      </c>
      <c r="C12" s="28" t="s">
        <v>34</v>
      </c>
      <c r="D12" s="28" t="s">
        <v>35</v>
      </c>
    </row>
    <row r="13" spans="1:4" ht="18">
      <c r="A13" s="27">
        <v>12</v>
      </c>
      <c r="B13" s="28" t="s">
        <v>36</v>
      </c>
      <c r="C13" s="28" t="s">
        <v>37</v>
      </c>
      <c r="D13" s="28" t="s">
        <v>38</v>
      </c>
    </row>
    <row r="14" spans="1:4" ht="18">
      <c r="A14" s="27">
        <v>13</v>
      </c>
      <c r="B14" s="28" t="s">
        <v>39</v>
      </c>
      <c r="C14" s="28" t="s">
        <v>40</v>
      </c>
      <c r="D14" s="28" t="s">
        <v>35</v>
      </c>
    </row>
    <row r="15" spans="1:4" ht="18">
      <c r="A15" s="27">
        <v>14</v>
      </c>
      <c r="B15" s="28" t="s">
        <v>41</v>
      </c>
      <c r="C15" s="28" t="s">
        <v>42</v>
      </c>
      <c r="D15" s="28" t="s">
        <v>43</v>
      </c>
    </row>
    <row r="16" spans="1:4" ht="18">
      <c r="A16" s="27">
        <v>15</v>
      </c>
      <c r="B16" s="28" t="s">
        <v>44</v>
      </c>
      <c r="C16" s="28" t="s">
        <v>45</v>
      </c>
      <c r="D16" s="28" t="s">
        <v>43</v>
      </c>
    </row>
    <row r="17" spans="1:4" ht="18">
      <c r="A17" s="27">
        <v>16</v>
      </c>
      <c r="B17" s="28" t="s">
        <v>46</v>
      </c>
      <c r="C17" s="28" t="s">
        <v>47</v>
      </c>
      <c r="D17" s="28" t="s">
        <v>29</v>
      </c>
    </row>
    <row r="18" spans="1:4" ht="18">
      <c r="A18" s="27">
        <v>17</v>
      </c>
      <c r="B18" s="28" t="s">
        <v>48</v>
      </c>
      <c r="C18" s="28" t="s">
        <v>49</v>
      </c>
      <c r="D18" s="28" t="s">
        <v>29</v>
      </c>
    </row>
    <row r="19" spans="1:4" ht="18">
      <c r="A19" s="27">
        <v>18</v>
      </c>
      <c r="B19" s="28" t="s">
        <v>50</v>
      </c>
      <c r="C19" s="28" t="s">
        <v>51</v>
      </c>
      <c r="D19" s="28" t="s">
        <v>52</v>
      </c>
    </row>
    <row r="20" spans="1:4" ht="18">
      <c r="A20" s="27">
        <v>19</v>
      </c>
      <c r="B20" s="28" t="s">
        <v>53</v>
      </c>
      <c r="C20" s="28" t="s">
        <v>54</v>
      </c>
      <c r="D20" s="28" t="s">
        <v>35</v>
      </c>
    </row>
    <row r="21" spans="1:4" ht="18">
      <c r="A21" s="27">
        <v>20</v>
      </c>
      <c r="B21" s="28" t="s">
        <v>55</v>
      </c>
      <c r="C21" s="28" t="s">
        <v>56</v>
      </c>
      <c r="D21" s="28" t="s">
        <v>57</v>
      </c>
    </row>
    <row r="22" spans="1:4" ht="18">
      <c r="A22" s="27">
        <v>21</v>
      </c>
      <c r="B22" s="28" t="s">
        <v>58</v>
      </c>
      <c r="C22" s="28" t="s">
        <v>59</v>
      </c>
      <c r="D22" s="28" t="s">
        <v>52</v>
      </c>
    </row>
    <row r="23" spans="1:4" ht="18">
      <c r="A23" s="29">
        <v>22</v>
      </c>
      <c r="B23" s="28" t="s">
        <v>60</v>
      </c>
      <c r="C23" s="28" t="s">
        <v>61</v>
      </c>
      <c r="D23" s="28" t="s">
        <v>35</v>
      </c>
    </row>
    <row r="24" spans="1:4" ht="18">
      <c r="A24" s="27">
        <v>23</v>
      </c>
      <c r="B24" s="28" t="s">
        <v>62</v>
      </c>
      <c r="C24" s="28" t="s">
        <v>56</v>
      </c>
      <c r="D24" s="28" t="s">
        <v>57</v>
      </c>
    </row>
    <row r="25" spans="1:4" ht="18">
      <c r="A25" s="27">
        <v>25</v>
      </c>
      <c r="B25" s="28" t="s">
        <v>63</v>
      </c>
      <c r="C25" s="28" t="s">
        <v>64</v>
      </c>
      <c r="D25" s="28" t="s">
        <v>65</v>
      </c>
    </row>
    <row r="26" spans="1:4" ht="18">
      <c r="A26" s="27">
        <v>26</v>
      </c>
      <c r="B26" s="28" t="s">
        <v>66</v>
      </c>
      <c r="C26" s="28" t="s">
        <v>67</v>
      </c>
      <c r="D26" s="28" t="s">
        <v>68</v>
      </c>
    </row>
  </sheetData>
  <printOptions horizontalCentered="1" verticalCentered="1"/>
  <pageMargins left="0.7" right="0.7" top="0.75" bottom="0.75" header="0.3" footer="0.3"/>
  <pageSetup scale="72" orientation="portrait" r:id="rId1"/>
  <headerFooter>
    <oddHeader xml:space="preserve">&amp;L&amp;"System Font,Regular"&amp;10&amp;K000000Michael Daniel
Spreadsheets - Excel (88516)
Prof. Mendez
7/1/25
</oddHeader>
    <oddFooter>&amp;CPortfolio Tracker - Michael Daniel</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3C9E3-DC12-2848-9212-371C1D61CFE1}">
  <sheetPr codeName="Sheet2">
    <pageSetUpPr fitToPage="1"/>
  </sheetPr>
  <dimension ref="A1:M31"/>
  <sheetViews>
    <sheetView tabSelected="1" topLeftCell="A2" zoomScaleNormal="100" workbookViewId="0">
      <selection activeCell="O7" sqref="O7"/>
    </sheetView>
  </sheetViews>
  <sheetFormatPr defaultColWidth="11" defaultRowHeight="15.75"/>
  <cols>
    <col min="1" max="1" width="49" bestFit="1" customWidth="1"/>
    <col min="2" max="2" width="24.875" bestFit="1" customWidth="1"/>
    <col min="3" max="3" width="8.375" bestFit="1" customWidth="1"/>
    <col min="4" max="4" width="17" bestFit="1" customWidth="1"/>
    <col min="5" max="5" width="15.125" bestFit="1" customWidth="1"/>
    <col min="6" max="6" width="11.875" customWidth="1"/>
    <col min="7" max="7" width="15.625" bestFit="1" customWidth="1"/>
    <col min="8" max="8" width="12" hidden="1" customWidth="1"/>
    <col min="9" max="9" width="16.375" bestFit="1" customWidth="1"/>
    <col min="10" max="10" width="6.125" bestFit="1" customWidth="1"/>
    <col min="11" max="11" width="11.625" bestFit="1" customWidth="1"/>
    <col min="12" max="12" width="21.875" bestFit="1" customWidth="1"/>
  </cols>
  <sheetData>
    <row r="1" spans="1:13" ht="24" customHeight="1">
      <c r="A1" s="37" t="s">
        <v>69</v>
      </c>
      <c r="B1" s="38"/>
      <c r="C1" s="38"/>
      <c r="D1" s="38"/>
      <c r="E1" s="38"/>
      <c r="F1" s="38"/>
      <c r="G1" s="38"/>
      <c r="H1" s="38"/>
      <c r="I1" s="38"/>
      <c r="J1" s="38"/>
      <c r="K1" s="39"/>
      <c r="L1" s="34" t="s">
        <v>70</v>
      </c>
      <c r="M1" s="35" t="s">
        <v>71</v>
      </c>
    </row>
    <row r="2" spans="1:13" s="1" customFormat="1" ht="24.95" customHeight="1" thickBot="1">
      <c r="A2" s="40"/>
      <c r="B2" s="41"/>
      <c r="C2" s="41"/>
      <c r="D2" s="41"/>
      <c r="E2" s="41"/>
      <c r="F2" s="41"/>
      <c r="G2" s="41"/>
      <c r="H2" s="41"/>
      <c r="I2" s="41"/>
      <c r="J2" s="41"/>
      <c r="K2" s="42"/>
      <c r="L2" s="34"/>
      <c r="M2" s="36"/>
    </row>
    <row r="3" spans="1:13" ht="20.25" thickTop="1">
      <c r="A3" s="18" t="s">
        <v>72</v>
      </c>
      <c r="B3" s="15" t="s">
        <v>73</v>
      </c>
      <c r="C3" s="16" t="s">
        <v>74</v>
      </c>
      <c r="D3" s="16" t="s">
        <v>75</v>
      </c>
      <c r="E3" s="16" t="s">
        <v>76</v>
      </c>
      <c r="F3" s="16" t="s">
        <v>77</v>
      </c>
      <c r="G3" s="16" t="s">
        <v>78</v>
      </c>
      <c r="H3" s="16" t="s">
        <v>79</v>
      </c>
      <c r="I3" s="16" t="s">
        <v>80</v>
      </c>
      <c r="J3" s="15" t="s">
        <v>81</v>
      </c>
      <c r="K3" s="17" t="s">
        <v>79</v>
      </c>
      <c r="L3" s="24"/>
      <c r="M3" s="24"/>
    </row>
    <row r="4" spans="1:13" ht="17.25">
      <c r="A4" s="2" t="e" vm="1">
        <v>#VALUE!</v>
      </c>
      <c r="B4" s="3" t="s">
        <v>82</v>
      </c>
      <c r="C4" s="4">
        <v>0.82499999999999996</v>
      </c>
      <c r="D4" s="5">
        <v>181.77</v>
      </c>
      <c r="E4" s="6" cm="1">
        <f t="array" aca="1" ref="E4" ca="1">_FV(A4,"Price")</f>
        <v>330.34</v>
      </c>
      <c r="F4" s="5">
        <f t="shared" ref="F4:F29" si="0">C4*D4</f>
        <v>149.96025</v>
      </c>
      <c r="G4" s="31">
        <f t="shared" ref="G4:G29" ca="1" si="1">C4*E4</f>
        <v>272.53049999999996</v>
      </c>
      <c r="H4" s="31">
        <f t="shared" ref="H4:H29" ca="1" si="2">G4-F4</f>
        <v>122.57024999999996</v>
      </c>
      <c r="I4" s="7">
        <v>45673</v>
      </c>
      <c r="J4" s="30" t="s">
        <v>83</v>
      </c>
      <c r="K4" s="23" t="str">
        <f ca="1">IF(H4&gt;0, "Gain", "Loss")</f>
        <v>Gain</v>
      </c>
      <c r="L4" s="24"/>
      <c r="M4" s="24"/>
    </row>
    <row r="5" spans="1:13" ht="17.25">
      <c r="A5" s="2" t="e" vm="2">
        <v>#VALUE!</v>
      </c>
      <c r="B5" s="3" t="s">
        <v>84</v>
      </c>
      <c r="C5" s="4">
        <v>0.5</v>
      </c>
      <c r="D5" s="5">
        <v>167.52</v>
      </c>
      <c r="E5" s="6" cm="1">
        <f t="array" aca="1" ref="E5" ca="1">_FV(A5,"Price")</f>
        <v>239.12</v>
      </c>
      <c r="F5" s="5">
        <f t="shared" si="0"/>
        <v>83.76</v>
      </c>
      <c r="G5" s="31">
        <f t="shared" ca="1" si="1"/>
        <v>119.56</v>
      </c>
      <c r="H5" s="31">
        <f t="shared" ca="1" si="2"/>
        <v>35.799999999999997</v>
      </c>
      <c r="I5" s="7">
        <v>45513</v>
      </c>
      <c r="J5" s="30" t="s">
        <v>83</v>
      </c>
      <c r="K5" s="23" t="str">
        <f t="shared" ref="K5:K29" ca="1" si="3">IF(H5&gt;0, "Gain", "Loss")</f>
        <v>Gain</v>
      </c>
    </row>
    <row r="6" spans="1:13" ht="17.25">
      <c r="A6" s="2" t="e" vm="3">
        <v>#VALUE!</v>
      </c>
      <c r="B6" s="3" t="s">
        <v>85</v>
      </c>
      <c r="C6" s="4">
        <v>4.4046000000000002E-2</v>
      </c>
      <c r="D6" s="5">
        <v>229.53</v>
      </c>
      <c r="E6" s="6" cm="1">
        <f t="array" aca="1" ref="E6" ca="1">_FV(A6,"Price")</f>
        <v>255.517</v>
      </c>
      <c r="F6" s="5">
        <f t="shared" si="0"/>
        <v>10.10987838</v>
      </c>
      <c r="G6" s="31">
        <f t="shared" ca="1" si="1"/>
        <v>11.254501782</v>
      </c>
      <c r="H6" s="31">
        <f t="shared" ca="1" si="2"/>
        <v>1.1446234020000006</v>
      </c>
      <c r="I6" s="7">
        <v>45486</v>
      </c>
      <c r="J6" s="30" t="s">
        <v>83</v>
      </c>
      <c r="K6" s="23" t="str">
        <f t="shared" ca="1" si="3"/>
        <v>Gain</v>
      </c>
    </row>
    <row r="7" spans="1:13" ht="17.25">
      <c r="A7" s="2" t="e" vm="4">
        <v>#VALUE!</v>
      </c>
      <c r="B7" s="3" t="s">
        <v>86</v>
      </c>
      <c r="C7" s="4">
        <v>3</v>
      </c>
      <c r="D7" s="5">
        <v>8.08</v>
      </c>
      <c r="E7" s="6" cm="1">
        <f t="array" aca="1" ref="E7" ca="1">_FV(A7,"Price")</f>
        <v>6.12</v>
      </c>
      <c r="F7" s="5">
        <f t="shared" si="0"/>
        <v>24.240000000000002</v>
      </c>
      <c r="G7" s="31">
        <f t="shared" ca="1" si="1"/>
        <v>18.36</v>
      </c>
      <c r="H7" s="31">
        <f t="shared" ca="1" si="2"/>
        <v>-5.8800000000000026</v>
      </c>
      <c r="I7" s="7">
        <v>45329</v>
      </c>
      <c r="J7" s="30" t="s">
        <v>83</v>
      </c>
      <c r="K7" s="23" t="str">
        <f t="shared" ca="1" si="3"/>
        <v>Loss</v>
      </c>
    </row>
    <row r="8" spans="1:13" ht="17.25">
      <c r="A8" s="2" t="e" vm="5">
        <v>#VALUE!</v>
      </c>
      <c r="B8" s="3" t="s">
        <v>87</v>
      </c>
      <c r="C8" s="4">
        <v>3.3716000000000003E-2</v>
      </c>
      <c r="D8" s="5">
        <v>153.34</v>
      </c>
      <c r="E8" s="6" cm="1">
        <f t="array" aca="1" ref="E8" ca="1">_FV(A8,"Price")</f>
        <v>166.29</v>
      </c>
      <c r="F8" s="5">
        <f t="shared" si="0"/>
        <v>5.1700114400000006</v>
      </c>
      <c r="G8" s="31">
        <f t="shared" ca="1" si="1"/>
        <v>5.6066336400000001</v>
      </c>
      <c r="H8" s="31">
        <f t="shared" ca="1" si="2"/>
        <v>0.43662219999999952</v>
      </c>
      <c r="I8" s="7">
        <v>45636</v>
      </c>
      <c r="J8" s="30" t="s">
        <v>83</v>
      </c>
      <c r="K8" s="23" t="str">
        <f t="shared" ca="1" si="3"/>
        <v>Gain</v>
      </c>
    </row>
    <row r="9" spans="1:13" ht="17.25">
      <c r="A9" s="2" t="e" vm="6">
        <v>#VALUE!</v>
      </c>
      <c r="B9" s="3" t="s">
        <v>88</v>
      </c>
      <c r="C9" s="4">
        <v>9.2789999999999997E-2</v>
      </c>
      <c r="D9" s="5">
        <v>107.77</v>
      </c>
      <c r="E9" s="6" cm="1">
        <f t="array" aca="1" ref="E9" ca="1">_FV(A9,"Price")</f>
        <v>151.47999999999999</v>
      </c>
      <c r="F9" s="5">
        <f t="shared" si="0"/>
        <v>9.9999782999999987</v>
      </c>
      <c r="G9" s="31">
        <f t="shared" ca="1" si="1"/>
        <v>14.055829199999998</v>
      </c>
      <c r="H9" s="31">
        <f t="shared" ca="1" si="2"/>
        <v>4.0558508999999994</v>
      </c>
      <c r="I9" s="7">
        <v>45479</v>
      </c>
      <c r="J9" s="30" t="s">
        <v>83</v>
      </c>
      <c r="K9" s="23" t="str">
        <f t="shared" ca="1" si="3"/>
        <v>Gain</v>
      </c>
    </row>
    <row r="10" spans="1:13" ht="17.25">
      <c r="A10" s="2" t="e" vm="7">
        <v>#VALUE!</v>
      </c>
      <c r="B10" s="3" t="s">
        <v>89</v>
      </c>
      <c r="C10" s="4">
        <v>2.19</v>
      </c>
      <c r="D10" s="5">
        <v>12.13</v>
      </c>
      <c r="E10" s="6" cm="1">
        <f t="array" aca="1" ref="E10" ca="1">_FV(A10,"Price")</f>
        <v>14.01</v>
      </c>
      <c r="F10" s="5">
        <f t="shared" si="0"/>
        <v>26.564700000000002</v>
      </c>
      <c r="G10" s="31">
        <f t="shared" ca="1" si="1"/>
        <v>30.681899999999999</v>
      </c>
      <c r="H10" s="31">
        <f t="shared" ca="1" si="2"/>
        <v>4.1171999999999969</v>
      </c>
      <c r="I10" s="7">
        <v>45480</v>
      </c>
      <c r="J10" s="30" t="s">
        <v>83</v>
      </c>
      <c r="K10" s="23" t="str">
        <f t="shared" ca="1" si="3"/>
        <v>Gain</v>
      </c>
    </row>
    <row r="11" spans="1:13" ht="17.25">
      <c r="A11" s="2" t="e" vm="8">
        <v>#VALUE!</v>
      </c>
      <c r="B11" s="3" t="s">
        <v>90</v>
      </c>
      <c r="C11" s="4">
        <v>4.4457310000000003</v>
      </c>
      <c r="D11" s="5">
        <v>29.43</v>
      </c>
      <c r="E11" s="6" cm="1">
        <f t="array" aca="1" ref="E11" ca="1">_FV(A11,"Price")</f>
        <v>32.914999999999999</v>
      </c>
      <c r="F11" s="5">
        <f t="shared" si="0"/>
        <v>130.83786333</v>
      </c>
      <c r="G11" s="31">
        <f t="shared" ca="1" si="1"/>
        <v>146.331235865</v>
      </c>
      <c r="H11" s="31">
        <f t="shared" ca="1" si="2"/>
        <v>15.493372534999992</v>
      </c>
      <c r="I11" s="7">
        <v>45483</v>
      </c>
      <c r="J11" s="30" t="s">
        <v>83</v>
      </c>
      <c r="K11" s="23" t="str">
        <f t="shared" ca="1" si="3"/>
        <v>Gain</v>
      </c>
    </row>
    <row r="12" spans="1:13" ht="17.25">
      <c r="A12" s="2" t="e" vm="9">
        <v>#VALUE!</v>
      </c>
      <c r="B12" s="3" t="s">
        <v>91</v>
      </c>
      <c r="C12" s="4">
        <v>4</v>
      </c>
      <c r="D12" s="5">
        <v>20.82</v>
      </c>
      <c r="E12" s="6" cm="1">
        <f t="array" aca="1" ref="E12" ca="1">_FV(A12,"Price")</f>
        <v>46.991999999999997</v>
      </c>
      <c r="F12" s="5">
        <f t="shared" si="0"/>
        <v>83.28</v>
      </c>
      <c r="G12" s="31">
        <f t="shared" ca="1" si="1"/>
        <v>187.96799999999999</v>
      </c>
      <c r="H12" s="31">
        <f t="shared" ca="1" si="2"/>
        <v>104.68799999999999</v>
      </c>
      <c r="I12" s="7">
        <v>45509</v>
      </c>
      <c r="J12" s="30" t="s">
        <v>83</v>
      </c>
      <c r="K12" s="23" t="str">
        <f t="shared" ca="1" si="3"/>
        <v>Gain</v>
      </c>
    </row>
    <row r="13" spans="1:13" ht="17.25">
      <c r="A13" s="2" t="e" vm="10">
        <v>#VALUE!</v>
      </c>
      <c r="B13" s="3" t="s">
        <v>92</v>
      </c>
      <c r="C13" s="4">
        <v>2</v>
      </c>
      <c r="D13" s="5">
        <v>24.19</v>
      </c>
      <c r="E13" s="6" cm="1">
        <f t="array" aca="1" ref="E13" ca="1">_FV(A13,"Price")</f>
        <v>45.674999999999997</v>
      </c>
      <c r="F13" s="5">
        <f t="shared" si="0"/>
        <v>48.38</v>
      </c>
      <c r="G13" s="31">
        <f t="shared" ca="1" si="1"/>
        <v>91.35</v>
      </c>
      <c r="H13" s="31">
        <f t="shared" ca="1" si="2"/>
        <v>42.969999999999992</v>
      </c>
      <c r="I13" s="7">
        <v>45488</v>
      </c>
      <c r="J13" s="30" t="s">
        <v>83</v>
      </c>
      <c r="K13" s="23" t="str">
        <f t="shared" ca="1" si="3"/>
        <v>Gain</v>
      </c>
    </row>
    <row r="14" spans="1:13" ht="17.25">
      <c r="A14" s="2" t="e" vm="11">
        <v>#VALUE!</v>
      </c>
      <c r="B14" s="3" t="s">
        <v>93</v>
      </c>
      <c r="C14" s="4">
        <v>1</v>
      </c>
      <c r="D14" s="5">
        <v>55.01</v>
      </c>
      <c r="E14" s="6" cm="1">
        <f t="array" aca="1" ref="E14" ca="1">_FV(A14,"Price")</f>
        <v>58.92</v>
      </c>
      <c r="F14" s="5">
        <f t="shared" si="0"/>
        <v>55.01</v>
      </c>
      <c r="G14" s="31">
        <f t="shared" ca="1" si="1"/>
        <v>58.92</v>
      </c>
      <c r="H14" s="31">
        <f t="shared" ca="1" si="2"/>
        <v>3.9100000000000037</v>
      </c>
      <c r="I14" s="7">
        <v>45495</v>
      </c>
      <c r="J14" s="30" t="s">
        <v>83</v>
      </c>
      <c r="K14" s="23" t="str">
        <f t="shared" ca="1" si="3"/>
        <v>Gain</v>
      </c>
    </row>
    <row r="15" spans="1:13" ht="17.25">
      <c r="A15" s="2" t="e" vm="12">
        <v>#VALUE!</v>
      </c>
      <c r="B15" s="3" t="s">
        <v>94</v>
      </c>
      <c r="C15" s="4">
        <v>1</v>
      </c>
      <c r="D15" s="5">
        <v>52.04</v>
      </c>
      <c r="E15" s="6" cm="1">
        <f t="array" aca="1" ref="E15" ca="1">_FV(A15,"Price")</f>
        <v>63.96</v>
      </c>
      <c r="F15" s="5">
        <f t="shared" si="0"/>
        <v>52.04</v>
      </c>
      <c r="G15" s="31">
        <f t="shared" ca="1" si="1"/>
        <v>63.96</v>
      </c>
      <c r="H15" s="31">
        <f t="shared" ca="1" si="2"/>
        <v>11.920000000000002</v>
      </c>
      <c r="I15" s="7">
        <v>45481</v>
      </c>
      <c r="J15" s="30" t="s">
        <v>83</v>
      </c>
      <c r="K15" s="23" t="str">
        <f t="shared" ca="1" si="3"/>
        <v>Gain</v>
      </c>
    </row>
    <row r="16" spans="1:13" ht="17.25">
      <c r="A16" s="2" t="e" vm="13">
        <v>#VALUE!</v>
      </c>
      <c r="B16" s="3" t="s">
        <v>95</v>
      </c>
      <c r="C16" s="4">
        <v>0.1</v>
      </c>
      <c r="D16" s="5">
        <v>251.73</v>
      </c>
      <c r="E16" s="6" cm="1">
        <f t="array" aca="1" ref="E16" ca="1">_FV(A16,"Price")</f>
        <v>307.41000000000003</v>
      </c>
      <c r="F16" s="5">
        <f t="shared" si="0"/>
        <v>25.173000000000002</v>
      </c>
      <c r="G16" s="31">
        <f t="shared" ca="1" si="1"/>
        <v>30.741000000000003</v>
      </c>
      <c r="H16" s="31">
        <f t="shared" ca="1" si="2"/>
        <v>5.5680000000000014</v>
      </c>
      <c r="I16" s="7">
        <v>45479</v>
      </c>
      <c r="J16" s="30" t="s">
        <v>83</v>
      </c>
      <c r="K16" s="23" t="str">
        <f t="shared" ca="1" si="3"/>
        <v>Gain</v>
      </c>
    </row>
    <row r="17" spans="1:11" ht="17.25">
      <c r="A17" s="2" t="e" vm="14">
        <v>#VALUE!</v>
      </c>
      <c r="B17" s="3" t="s">
        <v>96</v>
      </c>
      <c r="C17" s="4">
        <v>0.3</v>
      </c>
      <c r="D17" s="5">
        <v>459.52</v>
      </c>
      <c r="E17" s="6" cm="1">
        <f t="array" aca="1" ref="E17" ca="1">_FV(A17,"Price")</f>
        <v>459.86</v>
      </c>
      <c r="F17" s="5">
        <f t="shared" si="0"/>
        <v>137.85599999999999</v>
      </c>
      <c r="G17" s="31">
        <f t="shared" ca="1" si="1"/>
        <v>137.958</v>
      </c>
      <c r="H17" s="31">
        <f t="shared" ca="1" si="2"/>
        <v>0.10200000000000387</v>
      </c>
      <c r="I17" s="7">
        <v>45481</v>
      </c>
      <c r="J17" s="30" t="s">
        <v>83</v>
      </c>
      <c r="K17" s="23" t="str">
        <f t="shared" ca="1" si="3"/>
        <v>Gain</v>
      </c>
    </row>
    <row r="18" spans="1:11" ht="17.25">
      <c r="A18" s="2" t="e" vm="15">
        <v>#VALUE!</v>
      </c>
      <c r="B18" s="3" t="s">
        <v>97</v>
      </c>
      <c r="C18" s="4">
        <v>4.069</v>
      </c>
      <c r="D18" s="5">
        <v>117.33</v>
      </c>
      <c r="E18" s="6" cm="1">
        <f t="array" aca="1" ref="E18" ca="1">_FV(A18,"Price")</f>
        <v>186.10499999999999</v>
      </c>
      <c r="F18" s="5">
        <f t="shared" si="0"/>
        <v>477.41577000000001</v>
      </c>
      <c r="G18" s="31">
        <f t="shared" ca="1" si="1"/>
        <v>757.26124499999992</v>
      </c>
      <c r="H18" s="31">
        <f t="shared" ca="1" si="2"/>
        <v>279.84547499999991</v>
      </c>
      <c r="I18" s="7">
        <v>45514</v>
      </c>
      <c r="J18" s="30" t="s">
        <v>83</v>
      </c>
      <c r="K18" s="23" t="str">
        <f t="shared" ca="1" si="3"/>
        <v>Gain</v>
      </c>
    </row>
    <row r="19" spans="1:11" ht="17.25">
      <c r="A19" s="2" t="e" vm="16">
        <v>#VALUE!</v>
      </c>
      <c r="B19" s="3" t="s">
        <v>98</v>
      </c>
      <c r="C19" s="4">
        <v>1.0087729999999999</v>
      </c>
      <c r="D19" s="5">
        <v>149.84</v>
      </c>
      <c r="E19" s="6" cm="1">
        <f t="array" aca="1" ref="E19" ca="1">_FV(A19,"Price")</f>
        <v>173.56</v>
      </c>
      <c r="F19" s="5">
        <f t="shared" si="0"/>
        <v>151.15454631999998</v>
      </c>
      <c r="G19" s="31">
        <f t="shared" ca="1" si="1"/>
        <v>175.08264187999998</v>
      </c>
      <c r="H19" s="31">
        <f t="shared" ca="1" si="2"/>
        <v>23.928095560000003</v>
      </c>
      <c r="I19" s="7">
        <v>45720</v>
      </c>
      <c r="J19" s="30" t="s">
        <v>83</v>
      </c>
      <c r="K19" s="23" t="str">
        <f t="shared" ca="1" si="3"/>
        <v>Gain</v>
      </c>
    </row>
    <row r="20" spans="1:11" ht="17.25">
      <c r="A20" s="2" t="e" vm="17">
        <v>#VALUE!</v>
      </c>
      <c r="B20" s="3" t="s">
        <v>99</v>
      </c>
      <c r="C20" s="4">
        <v>1.41316</v>
      </c>
      <c r="D20" s="5">
        <v>59.63</v>
      </c>
      <c r="E20" s="6" cm="1">
        <f t="array" aca="1" ref="E20" ca="1">_FV(A20,"Price")</f>
        <v>61.405000000000001</v>
      </c>
      <c r="F20" s="5">
        <f t="shared" si="0"/>
        <v>84.266730800000005</v>
      </c>
      <c r="G20" s="31">
        <f t="shared" ca="1" si="1"/>
        <v>86.775089800000003</v>
      </c>
      <c r="H20" s="31">
        <f t="shared" ca="1" si="2"/>
        <v>2.5083589999999987</v>
      </c>
      <c r="I20" s="7">
        <v>45482</v>
      </c>
      <c r="J20" s="30" t="s">
        <v>83</v>
      </c>
      <c r="K20" s="23" t="str">
        <f t="shared" ca="1" si="3"/>
        <v>Gain</v>
      </c>
    </row>
    <row r="21" spans="1:11" ht="17.25">
      <c r="A21" s="2" t="e" vm="18">
        <v>#VALUE!</v>
      </c>
      <c r="B21" s="3" t="s">
        <v>100</v>
      </c>
      <c r="C21" s="4">
        <v>2.297993</v>
      </c>
      <c r="D21" s="5">
        <v>38.340000000000003</v>
      </c>
      <c r="E21" s="6" cm="1">
        <f t="array" aca="1" ref="E21" ca="1">_FV(A21,"Price")</f>
        <v>30.93</v>
      </c>
      <c r="F21" s="5">
        <f t="shared" si="0"/>
        <v>88.105051620000012</v>
      </c>
      <c r="G21" s="31">
        <f t="shared" ca="1" si="1"/>
        <v>71.076923489999999</v>
      </c>
      <c r="H21" s="31">
        <f t="shared" ca="1" si="2"/>
        <v>-17.028128130000013</v>
      </c>
      <c r="I21" s="7">
        <v>45691</v>
      </c>
      <c r="J21" s="30" t="s">
        <v>83</v>
      </c>
      <c r="K21" s="23" t="str">
        <f t="shared" ca="1" si="3"/>
        <v>Loss</v>
      </c>
    </row>
    <row r="22" spans="1:11" ht="17.25">
      <c r="A22" s="2" t="e" vm="19">
        <v>#VALUE!</v>
      </c>
      <c r="B22" s="3" t="s">
        <v>101</v>
      </c>
      <c r="C22" s="4">
        <v>4.0073980000000002</v>
      </c>
      <c r="D22" s="5">
        <v>14.97</v>
      </c>
      <c r="E22" s="6" cm="1">
        <f t="array" aca="1" ref="E22" ca="1">_FV(A22,"Price")</f>
        <v>26.13</v>
      </c>
      <c r="F22" s="5">
        <f t="shared" si="0"/>
        <v>59.990748060000008</v>
      </c>
      <c r="G22" s="31">
        <f t="shared" ca="1" si="1"/>
        <v>104.71330974</v>
      </c>
      <c r="H22" s="31">
        <f t="shared" ca="1" si="2"/>
        <v>44.722561679999991</v>
      </c>
      <c r="I22" s="7">
        <v>45814</v>
      </c>
      <c r="J22" s="30" t="s">
        <v>83</v>
      </c>
      <c r="K22" s="23" t="str">
        <f t="shared" ca="1" si="3"/>
        <v>Gain</v>
      </c>
    </row>
    <row r="23" spans="1:11" ht="17.25">
      <c r="A23" s="2" t="e" vm="20">
        <v>#VALUE!</v>
      </c>
      <c r="B23" s="3" t="s">
        <v>102</v>
      </c>
      <c r="C23" s="4">
        <v>5</v>
      </c>
      <c r="D23" s="5">
        <v>19.16</v>
      </c>
      <c r="E23" s="6" cm="1">
        <f t="array" aca="1" ref="E23" ca="1">_FV(A23,"Price")</f>
        <v>24.128</v>
      </c>
      <c r="F23" s="5">
        <f t="shared" si="0"/>
        <v>95.8</v>
      </c>
      <c r="G23" s="31">
        <f t="shared" ca="1" si="1"/>
        <v>120.64</v>
      </c>
      <c r="H23" s="31">
        <f t="shared" ca="1" si="2"/>
        <v>24.840000000000003</v>
      </c>
      <c r="I23" s="7">
        <v>45573</v>
      </c>
      <c r="J23" s="30" t="s">
        <v>83</v>
      </c>
      <c r="K23" s="23" t="str">
        <f t="shared" ca="1" si="3"/>
        <v>Gain</v>
      </c>
    </row>
    <row r="24" spans="1:11" ht="17.25">
      <c r="A24" s="2" t="e" vm="21">
        <v>#VALUE!</v>
      </c>
      <c r="B24" s="3" t="s">
        <v>103</v>
      </c>
      <c r="C24" s="4">
        <v>1.06</v>
      </c>
      <c r="D24" s="5">
        <v>63.72</v>
      </c>
      <c r="E24" s="6" cm="1">
        <f t="array" aca="1" ref="E24" ca="1">_FV(A24,"Price")</f>
        <v>70.424999999999997</v>
      </c>
      <c r="F24" s="5">
        <f t="shared" si="0"/>
        <v>67.543199999999999</v>
      </c>
      <c r="G24" s="31">
        <f t="shared" ca="1" si="1"/>
        <v>74.650499999999994</v>
      </c>
      <c r="H24" s="31">
        <f t="shared" ca="1" si="2"/>
        <v>7.1072999999999951</v>
      </c>
      <c r="I24" s="7">
        <v>45618</v>
      </c>
      <c r="J24" s="30" t="s">
        <v>83</v>
      </c>
      <c r="K24" s="23" t="str">
        <f t="shared" ca="1" si="3"/>
        <v>Gain</v>
      </c>
    </row>
    <row r="25" spans="1:11" ht="17.25">
      <c r="A25" s="2" t="e" vm="22">
        <v>#VALUE!</v>
      </c>
      <c r="B25" s="3" t="s">
        <v>104</v>
      </c>
      <c r="C25" s="4">
        <v>0.11346000000000001</v>
      </c>
      <c r="D25" s="5">
        <v>176.27</v>
      </c>
      <c r="E25" s="6" cm="1">
        <f t="array" aca="1" ref="E25" ca="1">_FV(A25,"Price")</f>
        <v>144.505</v>
      </c>
      <c r="F25" s="5">
        <f t="shared" si="0"/>
        <v>19.999594200000001</v>
      </c>
      <c r="G25" s="31">
        <f t="shared" ca="1" si="1"/>
        <v>16.395537300000001</v>
      </c>
      <c r="H25" s="31">
        <f t="shared" ca="1" si="2"/>
        <v>-3.6040568999999998</v>
      </c>
      <c r="I25" s="7">
        <v>45638</v>
      </c>
      <c r="J25" s="30" t="s">
        <v>83</v>
      </c>
      <c r="K25" s="23" t="str">
        <f t="shared" ca="1" si="3"/>
        <v>Loss</v>
      </c>
    </row>
    <row r="26" spans="1:11" ht="17.25">
      <c r="A26" s="2" t="e" vm="23">
        <v>#VALUE!</v>
      </c>
      <c r="B26" s="3" t="s">
        <v>105</v>
      </c>
      <c r="C26" s="4">
        <v>85.029884999999993</v>
      </c>
      <c r="D26" s="5">
        <v>27.22</v>
      </c>
      <c r="E26" s="6" cm="1">
        <f t="array" aca="1" ref="E26" ca="1">_FV(A26,"Price")</f>
        <v>28.885000000000002</v>
      </c>
      <c r="F26" s="5">
        <f t="shared" si="0"/>
        <v>2314.5134696999999</v>
      </c>
      <c r="G26" s="31">
        <f t="shared" ca="1" si="1"/>
        <v>2456.088228225</v>
      </c>
      <c r="H26" s="31">
        <f t="shared" ca="1" si="2"/>
        <v>141.57475852500011</v>
      </c>
      <c r="I26" s="7">
        <v>45493</v>
      </c>
      <c r="J26" s="30" t="s">
        <v>106</v>
      </c>
      <c r="K26" s="23" t="str">
        <f t="shared" ca="1" si="3"/>
        <v>Gain</v>
      </c>
    </row>
    <row r="27" spans="1:11" ht="17.25">
      <c r="A27" s="2" t="e" vm="24">
        <v>#VALUE!</v>
      </c>
      <c r="B27" s="3" t="s">
        <v>107</v>
      </c>
      <c r="C27" s="4">
        <v>4.8434499999999998</v>
      </c>
      <c r="D27" s="5">
        <v>522.29999999999995</v>
      </c>
      <c r="E27" s="6" cm="1">
        <f t="array" aca="1" ref="E27" ca="1">_FV(A27,"Price")</f>
        <v>636.05999999999995</v>
      </c>
      <c r="F27" s="5">
        <f t="shared" si="0"/>
        <v>2529.7339349999997</v>
      </c>
      <c r="G27" s="31">
        <f t="shared" ca="1" si="1"/>
        <v>3080.7248069999996</v>
      </c>
      <c r="H27" s="31">
        <f t="shared" ca="1" si="2"/>
        <v>550.99087199999985</v>
      </c>
      <c r="I27" s="7">
        <v>45483</v>
      </c>
      <c r="J27" s="30" t="s">
        <v>106</v>
      </c>
      <c r="K27" s="23" t="str">
        <f t="shared" ca="1" si="3"/>
        <v>Gain</v>
      </c>
    </row>
    <row r="28" spans="1:11" ht="17.25">
      <c r="A28" s="2" t="e" vm="25">
        <v>#VALUE!</v>
      </c>
      <c r="B28" s="3" t="s">
        <v>108</v>
      </c>
      <c r="C28" s="4">
        <v>1.02789</v>
      </c>
      <c r="D28" s="5">
        <v>45.4</v>
      </c>
      <c r="E28" s="6" cm="1">
        <f t="array" aca="1" ref="E28" ca="1">_FV(A28,"Price")</f>
        <v>55.984999999999999</v>
      </c>
      <c r="F28" s="5">
        <f t="shared" si="0"/>
        <v>46.666205999999995</v>
      </c>
      <c r="G28" s="31">
        <f t="shared" ca="1" si="1"/>
        <v>57.546421649999999</v>
      </c>
      <c r="H28" s="31">
        <f t="shared" ca="1" si="2"/>
        <v>10.880215650000004</v>
      </c>
      <c r="I28" s="7">
        <v>45600</v>
      </c>
      <c r="J28" s="30" t="s">
        <v>106</v>
      </c>
      <c r="K28" s="23" t="str">
        <f t="shared" ca="1" si="3"/>
        <v>Gain</v>
      </c>
    </row>
    <row r="29" spans="1:11" ht="17.25">
      <c r="A29" s="2" t="e" vm="26">
        <v>#VALUE!</v>
      </c>
      <c r="B29" s="3" t="s">
        <v>109</v>
      </c>
      <c r="C29" s="4">
        <v>0.111</v>
      </c>
      <c r="D29" s="5">
        <v>90.29</v>
      </c>
      <c r="E29" s="6" cm="1">
        <f t="array" aca="1" ref="E29" ca="1">_FV(A29,"Price")</f>
        <v>107.39</v>
      </c>
      <c r="F29" s="5">
        <f t="shared" si="0"/>
        <v>10.02219</v>
      </c>
      <c r="G29" s="31">
        <f t="shared" ca="1" si="1"/>
        <v>11.92029</v>
      </c>
      <c r="H29" s="31">
        <f t="shared" ca="1" si="2"/>
        <v>1.8980999999999995</v>
      </c>
      <c r="I29" s="7">
        <v>45600</v>
      </c>
      <c r="J29" s="30" t="s">
        <v>106</v>
      </c>
      <c r="K29" s="23" t="str">
        <f t="shared" ca="1" si="3"/>
        <v>Gain</v>
      </c>
    </row>
    <row r="30" spans="1:11" ht="17.25">
      <c r="A30" s="19" t="s">
        <v>110</v>
      </c>
      <c r="B30" s="32">
        <f ca="1">SUM(H4:H29)</f>
        <v>1414.5594714219997</v>
      </c>
      <c r="C30" s="20"/>
      <c r="D30" s="20"/>
      <c r="E30" s="20"/>
      <c r="F30" s="20"/>
      <c r="G30" s="20"/>
      <c r="H30" s="21"/>
      <c r="I30" s="20"/>
      <c r="J30" s="20"/>
      <c r="K30" s="22"/>
    </row>
    <row r="31" spans="1:11" ht="17.25">
      <c r="A31" s="8" t="s">
        <v>111</v>
      </c>
      <c r="B31" s="33">
        <f ca="1">AVERAGE(H4:H29)</f>
        <v>54.406133516230753</v>
      </c>
      <c r="C31" s="9"/>
      <c r="D31" s="9"/>
      <c r="E31" s="9"/>
      <c r="F31" s="9"/>
      <c r="G31" s="9"/>
      <c r="H31" s="9"/>
      <c r="I31" s="9"/>
      <c r="J31" s="9"/>
      <c r="K31" s="10"/>
    </row>
  </sheetData>
  <mergeCells count="3">
    <mergeCell ref="L1:L2"/>
    <mergeCell ref="M1:M2"/>
    <mergeCell ref="A1:K2"/>
  </mergeCells>
  <conditionalFormatting sqref="H4:H29">
    <cfRule type="cellIs" dxfId="12" priority="1" operator="lessThan">
      <formula>0</formula>
    </cfRule>
    <cfRule type="cellIs" dxfId="11" priority="2" operator="greaterThanOrEqual">
      <formula>0</formula>
    </cfRule>
  </conditionalFormatting>
  <dataValidations count="1">
    <dataValidation type="list" errorStyle="warning" allowBlank="1" showInputMessage="1" showErrorMessage="1" errorTitle="Incorrect Input!" error="Please put either Stock or ETF for this seciton " promptTitle="What Type?" prompt="Put if the investment is a stock or ETF." sqref="J4:J29" xr:uid="{19CB6B6A-8D4C-4243-B353-FA555BAB4136}">
      <formula1>"ETF, Stock"</formula1>
    </dataValidation>
  </dataValidations>
  <hyperlinks>
    <hyperlink ref="M1:M2" r:id="rId1" display="Robinhood" xr:uid="{81569B30-7955-7145-9DC1-22C64D5D73EC}"/>
  </hyperlinks>
  <printOptions horizontalCentered="1" verticalCentered="1"/>
  <pageMargins left="0.25" right="0.25" top="0.75" bottom="0.75" header="0.3" footer="0.3"/>
  <pageSetup scale="45" orientation="landscape" r:id="rId2"/>
  <headerFooter>
    <oddHeader xml:space="preserve">&amp;L&amp;"System Font,Regular"&amp;10&amp;K000000Michael Daniel
Spreadsheets - Excel (88516)
Prof. Mendez
7/1/25
</oddHeader>
    <oddFooter>&amp;CPortfolio Tracker - Michael Daniel</oddFooter>
  </headerFooter>
  <drawing r:id="rId3"/>
  <legacyDrawing r:id="rId4"/>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0972A-01F4-7C43-89E5-98A0A5408C39}">
  <sheetPr codeName="Sheet4"/>
  <dimension ref="A1:B29"/>
  <sheetViews>
    <sheetView zoomScaleNormal="100" workbookViewId="0">
      <pane xSplit="2" ySplit="29" topLeftCell="F30" activePane="bottomRight" state="frozen"/>
      <selection pane="bottomRight" activeCell="F28" sqref="F28"/>
      <selection pane="bottomLeft" activeCell="F28" sqref="F28"/>
      <selection pane="topRight" activeCell="F28" sqref="F28"/>
    </sheetView>
  </sheetViews>
  <sheetFormatPr defaultColWidth="11" defaultRowHeight="15.75"/>
  <cols>
    <col min="1" max="1" width="23.125" bestFit="1" customWidth="1"/>
    <col min="2" max="2" width="11.5" bestFit="1" customWidth="1"/>
  </cols>
  <sheetData>
    <row r="1" spans="1:2" ht="20.25" thickBot="1">
      <c r="A1" s="13" t="s">
        <v>73</v>
      </c>
      <c r="B1" s="14" t="s">
        <v>79</v>
      </c>
    </row>
    <row r="2" spans="1:2" ht="16.5" thickTop="1">
      <c r="A2" s="11" t="s">
        <v>107</v>
      </c>
      <c r="B2" s="12">
        <v>256.31537400000025</v>
      </c>
    </row>
    <row r="3" spans="1:2">
      <c r="A3" s="11" t="s">
        <v>97</v>
      </c>
      <c r="B3" s="12">
        <v>170.93869000000001</v>
      </c>
    </row>
    <row r="4" spans="1:2">
      <c r="A4" s="11" t="s">
        <v>102</v>
      </c>
      <c r="B4" s="12">
        <v>30.370000000000019</v>
      </c>
    </row>
    <row r="5" spans="1:2">
      <c r="A5" s="11" t="s">
        <v>98</v>
      </c>
      <c r="B5" s="12">
        <v>29.294767919999998</v>
      </c>
    </row>
    <row r="6" spans="1:2">
      <c r="A6" s="11" t="s">
        <v>84</v>
      </c>
      <c r="B6" s="12">
        <v>27.944999999999993</v>
      </c>
    </row>
    <row r="7" spans="1:2">
      <c r="A7" s="11" t="s">
        <v>92</v>
      </c>
      <c r="B7" s="12">
        <v>18.100000000000001</v>
      </c>
    </row>
    <row r="8" spans="1:2">
      <c r="A8" s="11" t="s">
        <v>101</v>
      </c>
      <c r="B8" s="12">
        <v>14.4266328</v>
      </c>
    </row>
    <row r="9" spans="1:2">
      <c r="A9" s="11" t="s">
        <v>96</v>
      </c>
      <c r="B9" s="12">
        <v>11.795999999999992</v>
      </c>
    </row>
    <row r="10" spans="1:2">
      <c r="A10" s="11" t="s">
        <v>105</v>
      </c>
      <c r="B10" s="12">
        <v>11.05388505000019</v>
      </c>
    </row>
    <row r="11" spans="1:2">
      <c r="A11" s="11" t="s">
        <v>90</v>
      </c>
      <c r="B11" s="12">
        <v>9.2471204800000066</v>
      </c>
    </row>
    <row r="12" spans="1:2">
      <c r="A12" s="11" t="s">
        <v>94</v>
      </c>
      <c r="B12" s="12">
        <v>9.0900000000000034</v>
      </c>
    </row>
    <row r="13" spans="1:2">
      <c r="A13" s="11" t="s">
        <v>103</v>
      </c>
      <c r="B13" s="12">
        <v>8.0878000000000014</v>
      </c>
    </row>
    <row r="14" spans="1:2">
      <c r="A14" s="11" t="s">
        <v>91</v>
      </c>
      <c r="B14" s="12">
        <v>6.6799999999999926</v>
      </c>
    </row>
    <row r="15" spans="1:2">
      <c r="A15" s="11" t="s">
        <v>108</v>
      </c>
      <c r="B15" s="12">
        <v>4.7488518000000042</v>
      </c>
    </row>
    <row r="16" spans="1:2">
      <c r="A16" s="11" t="s">
        <v>95</v>
      </c>
      <c r="B16" s="12">
        <v>4.2349999999999994</v>
      </c>
    </row>
    <row r="17" spans="1:2">
      <c r="A17" s="11" t="s">
        <v>89</v>
      </c>
      <c r="B17" s="12">
        <v>2.2556999999999974</v>
      </c>
    </row>
    <row r="18" spans="1:2">
      <c r="A18" s="11" t="s">
        <v>88</v>
      </c>
      <c r="B18" s="12">
        <v>0.92233260000000072</v>
      </c>
    </row>
    <row r="19" spans="1:2">
      <c r="A19" s="11" t="s">
        <v>73</v>
      </c>
      <c r="B19" s="12">
        <v>0</v>
      </c>
    </row>
    <row r="20" spans="1:2">
      <c r="A20" s="11" t="s">
        <v>109</v>
      </c>
      <c r="B20" s="12">
        <v>-1.220999999999961E-2</v>
      </c>
    </row>
    <row r="21" spans="1:2">
      <c r="A21" s="11" t="s">
        <v>87</v>
      </c>
      <c r="B21" s="12">
        <v>-0.16756851999999967</v>
      </c>
    </row>
    <row r="22" spans="1:2">
      <c r="A22" s="11" t="s">
        <v>85</v>
      </c>
      <c r="B22" s="12">
        <v>-0.70385507999999852</v>
      </c>
    </row>
    <row r="23" spans="1:2">
      <c r="A23" s="11" t="s">
        <v>93</v>
      </c>
      <c r="B23" s="12">
        <v>-0.85000000000000142</v>
      </c>
    </row>
    <row r="24" spans="1:2">
      <c r="A24" s="11" t="s">
        <v>86</v>
      </c>
      <c r="B24" s="12">
        <v>-0.99000000000000199</v>
      </c>
    </row>
    <row r="25" spans="1:2">
      <c r="A25" s="11" t="s">
        <v>82</v>
      </c>
      <c r="B25" s="12">
        <v>-1.0064999999999884</v>
      </c>
    </row>
    <row r="26" spans="1:2">
      <c r="A26" s="11" t="s">
        <v>104</v>
      </c>
      <c r="B26" s="12">
        <v>-1.7518223999999982</v>
      </c>
    </row>
    <row r="27" spans="1:2">
      <c r="A27" s="11" t="s">
        <v>99</v>
      </c>
      <c r="B27" s="12">
        <v>-2.7556620000000009</v>
      </c>
    </row>
    <row r="28" spans="1:2">
      <c r="A28" s="11" t="s">
        <v>100</v>
      </c>
      <c r="B28" s="12">
        <v>-6.6641797000000196</v>
      </c>
    </row>
    <row r="29" spans="1:2">
      <c r="A29" s="11" t="s">
        <v>112</v>
      </c>
      <c r="B29" s="12">
        <v>600.60535695000044</v>
      </c>
    </row>
  </sheetData>
  <printOptions horizontalCentered="1" verticalCentered="1"/>
  <pageMargins left="0.7" right="0.7" top="0.75" bottom="0.75" header="0.3" footer="0.3"/>
  <pageSetup scale="36" orientation="portrait" r:id="rId2"/>
  <headerFooter>
    <oddHeader xml:space="preserve">&amp;L&amp;"System Font,Regular"&amp;10&amp;K000000Michael Daniel
Spreadsheets - Excel (88516)
Prof. Mendez
7/1/25
</oddHeader>
    <oddFooter>&amp;CPortfolio Tracker - Michael Daniel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F11C07D776819429B22EFAAEE898659" ma:contentTypeVersion="6" ma:contentTypeDescription="Create a new document." ma:contentTypeScope="" ma:versionID="5e4c7acdf0cd3a2538b79f9a3c469001">
  <xsd:schema xmlns:xsd="http://www.w3.org/2001/XMLSchema" xmlns:xs="http://www.w3.org/2001/XMLSchema" xmlns:p="http://schemas.microsoft.com/office/2006/metadata/properties" xmlns:ns3="fe655902-395a-48c5-8875-30ea99da028c" targetNamespace="http://schemas.microsoft.com/office/2006/metadata/properties" ma:root="true" ma:fieldsID="8f4aebb27c2b9f8da0eefed8530410ff" ns3:_="">
    <xsd:import namespace="fe655902-395a-48c5-8875-30ea99da028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655902-395a-48c5-8875-30ea99da028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fe655902-395a-48c5-8875-30ea99da028c" xsi:nil="true"/>
  </documentManagement>
</p:properties>
</file>

<file path=customXml/itemProps1.xml><?xml version="1.0" encoding="utf-8"?>
<ds:datastoreItem xmlns:ds="http://schemas.openxmlformats.org/officeDocument/2006/customXml" ds:itemID="{54320F27-624B-414E-8481-E1464B4E8C06}"/>
</file>

<file path=customXml/itemProps2.xml><?xml version="1.0" encoding="utf-8"?>
<ds:datastoreItem xmlns:ds="http://schemas.openxmlformats.org/officeDocument/2006/customXml" ds:itemID="{22EF6D5D-00CC-4CC9-BC32-0DCC04335995}"/>
</file>

<file path=customXml/itemProps3.xml><?xml version="1.0" encoding="utf-8"?>
<ds:datastoreItem xmlns:ds="http://schemas.openxmlformats.org/officeDocument/2006/customXml" ds:itemID="{C874BBFA-3DAF-44D7-AC6D-32F0734C918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Daniel</dc:creator>
  <cp:keywords/>
  <dc:description/>
  <cp:lastModifiedBy>Michael Daniel</cp:lastModifiedBy>
  <cp:revision/>
  <dcterms:created xsi:type="dcterms:W3CDTF">2025-07-04T01:32:50Z</dcterms:created>
  <dcterms:modified xsi:type="dcterms:W3CDTF">2026-01-17T01:08:08Z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0x010100AF11C07D776819429B22EFAAEE898659</vt:lpwstr>
  </property>
</Properties>
</file>